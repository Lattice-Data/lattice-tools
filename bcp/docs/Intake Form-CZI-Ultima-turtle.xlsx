
<file path=[Content_Types].xml><?xml version="1.0" encoding="utf-8"?>
<Types xmlns="http://schemas.openxmlformats.org/package/2006/content-types">
  <Override PartName="/xl/_rels/workbook.xml.rels" ContentType="application/vnd.openxmlformats-package.relationships+xml"/>
  <Override PartName="/xl/comments2.xml" ContentType="application/vnd.openxmlformats-officedocument.spreadsheetml.comments+xml"/>
  <Override PartName="/xl/workbook.xml" ContentType="application/vnd.openxmlformats-officedocument.spreadsheetml.sheet.main+xml"/>
  <Override PartName="/xl/styles.xml" ContentType="application/vnd.openxmlformats-officedocument.spreadsheetml.styles+xml"/>
  <Override PartName="/xl/comments1.xml" ContentType="application/vnd.openxmlformats-officedocument.spreadsheetml.comments+xml"/>
  <Override PartName="/xl/worksheets/_rels/sheet4.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vmlDrawing2.vml" ContentType="application/vnd.openxmlformats-officedocument.vmlDrawing"/>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ple information" sheetId="1" state="visible" r:id="rId2"/>
    <sheet name="Application Process" sheetId="2" state="visible" r:id="rId3"/>
    <sheet name="Barcodes" sheetId="3" state="visible" r:id="rId4"/>
    <sheet name="Reference Genome" sheetId="4" state="visible" r:id="rId5"/>
    <sheet name="appendix" sheetId="5" state="visible" r:id="rId6"/>
  </sheets>
  <definedNames>
    <definedName function="false" hidden="true" localSheetId="1" name="_xlnm._FilterDatabase" vbProcedure="false">'Application Process'!$A$1:$S$54</definedName>
    <definedName function="false" hidden="false" localSheetId="0" name="_xlnm._FilterDatabase" vbProcedure="false">'Sample information'!$N:$N</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P1" authorId="0">
      <text>
        <r>
          <rPr>
            <sz val="9"/>
            <rFont val="宋体"/>
            <family val="0"/>
            <charset val="134"/>
          </rPr>
          <t xml:space="preserve">When the library QC type is "No QC needed", "concentration" is required.</t>
        </r>
      </text>
    </comment>
    <comment ref="R1" authorId="0">
      <text>
        <r>
          <rPr>
            <sz val="10"/>
            <color rgb="FF000000"/>
            <rFont val="Tahoma"/>
            <family val="2"/>
            <charset val="1"/>
          </rPr>
          <t xml:space="preserve">When the library QC type is "No QC needed", "Peak Size" is required.</t>
        </r>
      </text>
    </comment>
  </commentList>
</comments>
</file>

<file path=xl/comments2.xml><?xml version="1.0" encoding="utf-8"?>
<comments xmlns="http://schemas.openxmlformats.org/spreadsheetml/2006/main" xmlns:xdr="http://schemas.openxmlformats.org/drawingml/2006/spreadsheetDrawing">
  <authors>
    <author> </author>
  </authors>
  <commentList>
    <comment ref="C21" authorId="0">
      <text>
        <r>
          <rPr>
            <b val="true"/>
            <sz val="9"/>
            <rFont val="Times New Roman"/>
            <family val="1"/>
            <charset val="1"/>
          </rPr>
          <t xml:space="preserve">silu:
</t>
        </r>
        <r>
          <rPr>
            <sz val="9"/>
            <rFont val="Times New Roman"/>
            <family val="1"/>
            <charset val="1"/>
          </rPr>
          <t xml:space="preserve">R1 = cDNA Insert | R2 = Cell Barcodes and UMI</t>
        </r>
      </text>
    </comment>
    <comment ref="G6" authorId="0">
      <text>
        <r>
          <rPr>
            <b val="true"/>
            <sz val="9"/>
            <rFont val="Times New Roman"/>
            <family val="1"/>
            <charset val="1"/>
          </rPr>
          <t xml:space="preserve">silu:
</t>
        </r>
        <r>
          <rPr>
            <sz val="9"/>
            <rFont val="Times New Roman"/>
            <family val="1"/>
            <charset val="1"/>
          </rPr>
          <t xml:space="preserve">R1 = Cell barcode and UMI | R2 = cDNA insert</t>
        </r>
      </text>
    </comment>
    <comment ref="G7" authorId="0">
      <text>
        <r>
          <rPr>
            <b val="true"/>
            <sz val="9"/>
            <rFont val="Times New Roman"/>
            <family val="1"/>
            <charset val="1"/>
          </rPr>
          <t xml:space="preserve">silu:
</t>
        </r>
        <r>
          <rPr>
            <sz val="9"/>
            <rFont val="Times New Roman"/>
            <family val="1"/>
            <charset val="1"/>
          </rPr>
          <t xml:space="preserve">R1 = Cell barcode and UMI | R2 = cDNA insert</t>
        </r>
      </text>
    </comment>
    <comment ref="G12" authorId="0">
      <text>
        <r>
          <rPr>
            <b val="true"/>
            <sz val="9"/>
            <rFont val="Times New Roman"/>
            <family val="1"/>
            <charset val="1"/>
          </rPr>
          <t xml:space="preserve">silu:
</t>
        </r>
        <r>
          <rPr>
            <sz val="9"/>
            <rFont val="Times New Roman"/>
            <family val="1"/>
            <charset val="1"/>
          </rPr>
          <t xml:space="preserve">R1 = Cell barcode and UMI | R2 = CAS9 scaffold + protospacer + probe barcode</t>
        </r>
      </text>
    </comment>
  </commentList>
</comments>
</file>

<file path=xl/sharedStrings.xml><?xml version="1.0" encoding="utf-8"?>
<sst xmlns="http://schemas.openxmlformats.org/spreadsheetml/2006/main" count="1919" uniqueCount="1260">
  <si>
    <r>
      <rPr>
        <b val="true"/>
        <sz val="11"/>
        <color rgb="FF000000"/>
        <rFont val="Calibri"/>
        <family val="2"/>
        <charset val="1"/>
      </rPr>
      <t xml:space="preserve">Library name
</t>
    </r>
    <r>
      <rPr>
        <b val="true"/>
        <sz val="11"/>
        <color rgb="FFFF0000"/>
        <rFont val="Calibri"/>
        <family val="2"/>
        <charset val="1"/>
      </rPr>
      <t xml:space="preserve">(REQUIRED)
</t>
    </r>
    <r>
      <rPr>
        <b val="true"/>
        <sz val="6"/>
        <rFont val="Calibri"/>
        <family val="2"/>
        <charset val="1"/>
      </rPr>
      <t xml:space="preserve">
17 character MAX
Must start with a letter
Only alphanumeric, no special characters (no +, -, $, etc.)</t>
    </r>
  </si>
  <si>
    <r>
      <rPr>
        <b val="true"/>
        <sz val="11"/>
        <color rgb="FF000000"/>
        <rFont val="Calibri"/>
        <family val="2"/>
        <charset val="1"/>
      </rPr>
      <t xml:space="preserve">Sublibrary name
</t>
    </r>
    <r>
      <rPr>
        <b val="true"/>
        <sz val="11"/>
        <color rgb="FFFF0000"/>
        <rFont val="Calibri"/>
        <family val="2"/>
        <charset val="1"/>
      </rPr>
      <t xml:space="preserve">(REQUIRED)
</t>
    </r>
    <r>
      <rPr>
        <b val="true"/>
        <sz val="6"/>
        <rFont val="Calibri"/>
        <family val="2"/>
        <charset val="1"/>
      </rPr>
      <t xml:space="preserve">
Name must start with a letter
Names must be &lt; 17 characters, 
Alphanumeric only
NO special characters (no +, -, $, etc.)</t>
    </r>
  </si>
  <si>
    <r>
      <rPr>
        <b val="true"/>
        <sz val="11"/>
        <color rgb="FF000000"/>
        <rFont val="Calibri"/>
        <family val="2"/>
        <charset val="1"/>
      </rPr>
      <t xml:space="preserve">Ultima Index Sequence
</t>
    </r>
    <r>
      <rPr>
        <b val="true"/>
        <sz val="11"/>
        <color rgb="FFFF0000"/>
        <rFont val="Calibri"/>
        <family val="2"/>
        <charset val="1"/>
      </rPr>
      <t xml:space="preserve">(REQUIRED)
</t>
    </r>
    <r>
      <rPr>
        <b val="true"/>
        <sz val="6"/>
        <color rgb="FFFF0000"/>
        <rFont val="Calibri"/>
        <family val="2"/>
        <charset val="1"/>
      </rPr>
      <t xml:space="preserve">Barcode ID is okay, but please provide us with a list of corresponding nucleotide sequences</t>
    </r>
  </si>
  <si>
    <r>
      <rPr>
        <b val="true"/>
        <sz val="11"/>
        <color rgb="FF000000"/>
        <rFont val="Calibri"/>
        <family val="2"/>
        <charset val="1"/>
      </rPr>
      <t xml:space="preserve">Project Identifier
</t>
    </r>
    <r>
      <rPr>
        <i val="true"/>
        <sz val="8"/>
        <color rgb="FF000000"/>
        <rFont val="Calibri"/>
        <family val="2"/>
        <charset val="1"/>
      </rPr>
      <t xml:space="preserve">Letters/Numbers only, dashes &amp; underscores OKAY
Recommend to start with PI last name (e.g. Davis-embryo_trace)
</t>
    </r>
    <r>
      <rPr>
        <b val="true"/>
        <i val="true"/>
        <sz val="8"/>
        <color rgb="FFFF0000"/>
        <rFont val="Calibri"/>
        <family val="2"/>
        <charset val="1"/>
      </rPr>
      <t xml:space="preserve">This should have been confirmed with lattice team (let us know if not!)</t>
    </r>
  </si>
  <si>
    <r>
      <rPr>
        <b val="true"/>
        <sz val="11"/>
        <color rgb="FF000000"/>
        <rFont val="Calibri"/>
        <family val="2"/>
        <charset val="1"/>
      </rPr>
      <t xml:space="preserve">Experiement Identifier
</t>
    </r>
    <r>
      <rPr>
        <i val="true"/>
        <sz val="8"/>
        <color rgb="FF000000"/>
        <rFont val="Calibri"/>
        <family val="2"/>
        <charset val="1"/>
      </rPr>
      <t xml:space="preserve">Letters/Numbers only, dashes &amp; underscores OKAY
Needed for Scale/Sci libraries (NOT required for 10X libraries)</t>
    </r>
  </si>
  <si>
    <r>
      <rPr>
        <b val="true"/>
        <sz val="11"/>
        <color rgb="FF000000"/>
        <rFont val="Calibri"/>
        <family val="2"/>
        <charset val="1"/>
      </rPr>
      <t xml:space="preserve">Group Identifier 
</t>
    </r>
    <r>
      <rPr>
        <sz val="8"/>
        <color rgb="FF000000"/>
        <rFont val="Calibri"/>
        <family val="2"/>
        <charset val="1"/>
      </rPr>
      <t xml:space="preserve">The identifier of a group  libraries generated from the same sample, like GEX + CRISPR for perturb-seq or GEX  ATAC for multiome
If not created from the same sample, use the same "library Name" in this field</t>
    </r>
  </si>
  <si>
    <r>
      <rPr>
        <b val="true"/>
        <sz val="11"/>
        <color rgb="FF000000"/>
        <rFont val="Calibri"/>
        <family val="2"/>
        <charset val="1"/>
      </rPr>
      <t xml:space="preserve">Assay Type 
</t>
    </r>
    <r>
      <rPr>
        <sz val="8"/>
        <color rgb="FF000000"/>
        <rFont val="Calibri"/>
        <family val="2"/>
        <charset val="1"/>
      </rPr>
      <t xml:space="preserve">Select one of: GEX, CRI, ATAC, hash_oligo, GEX_hash_oligo)</t>
    </r>
  </si>
  <si>
    <r>
      <rPr>
        <b val="true"/>
        <sz val="11"/>
        <color rgb="FF000000"/>
        <rFont val="Calibri"/>
        <family val="2"/>
        <charset val="1"/>
      </rPr>
      <t xml:space="preserve">Library Kit 
</t>
    </r>
    <r>
      <rPr>
        <i val="true"/>
        <sz val="8"/>
        <color rgb="FF000000"/>
        <rFont val="Calibri"/>
        <family val="2"/>
        <charset val="1"/>
      </rPr>
      <t xml:space="preserve">For example 10x 3' v4, 10x FLEX v1, 10X FLEX v2, …)
Please be as specific as possible and include the version of the kit used, if applicable</t>
    </r>
  </si>
  <si>
    <r>
      <rPr>
        <b val="true"/>
        <sz val="11"/>
        <color rgb="FF000000"/>
        <rFont val="Calibri"/>
        <family val="2"/>
        <charset val="1"/>
      </rPr>
      <t xml:space="preserve">Data Delivery Method
</t>
    </r>
    <r>
      <rPr>
        <b val="true"/>
        <sz val="11"/>
        <color rgb="FFFF0000"/>
        <rFont val="Calibri"/>
        <family val="2"/>
        <charset val="1"/>
      </rPr>
      <t xml:space="preserve">(REQUIRED)
</t>
    </r>
    <r>
      <rPr>
        <b val="true"/>
        <sz val="6"/>
        <rFont val="Calibri"/>
        <family val="2"/>
        <charset val="1"/>
      </rPr>
      <t xml:space="preserve">Please choose UG-Fastq, UG-CRAM, or UG-uCRAM only</t>
    </r>
  </si>
  <si>
    <r>
      <rPr>
        <b val="true"/>
        <sz val="11"/>
        <color rgb="FF000000"/>
        <rFont val="Calibri"/>
        <family val="2"/>
        <charset val="1"/>
      </rPr>
      <t xml:space="preserve">
P5 index sequences
</t>
    </r>
    <r>
      <rPr>
        <b val="true"/>
        <sz val="11"/>
        <color rgb="FFFF0000"/>
        <rFont val="Calibri"/>
        <family val="2"/>
        <charset val="1"/>
      </rPr>
      <t xml:space="preserve">(NOT REQUIRED)</t>
    </r>
  </si>
  <si>
    <r>
      <rPr>
        <b val="true"/>
        <sz val="11"/>
        <color rgb="FF000000"/>
        <rFont val="Calibri"/>
        <family val="2"/>
        <charset val="1"/>
      </rPr>
      <t xml:space="preserve">Insert size
(bp)
</t>
    </r>
    <r>
      <rPr>
        <b val="true"/>
        <sz val="11"/>
        <color rgb="FFFF0000"/>
        <rFont val="Calibri"/>
        <family val="2"/>
        <charset val="1"/>
      </rPr>
      <t xml:space="preserve">(REQUIRED)</t>
    </r>
  </si>
  <si>
    <r>
      <rPr>
        <b val="true"/>
        <sz val="11"/>
        <color rgb="FF000000"/>
        <rFont val="Calibri"/>
        <family val="2"/>
        <charset val="1"/>
      </rPr>
      <t xml:space="preserve">Data Amount per Library (M reads)
</t>
    </r>
    <r>
      <rPr>
        <b val="true"/>
        <sz val="11"/>
        <color rgb="FFFF0000"/>
        <rFont val="Calibri"/>
        <family val="2"/>
        <charset val="1"/>
      </rPr>
      <t xml:space="preserve">(REQUIRED)
</t>
    </r>
    <r>
      <rPr>
        <b val="true"/>
        <sz val="6"/>
        <rFont val="Calibri"/>
        <family val="2"/>
        <charset val="1"/>
      </rPr>
      <t xml:space="preserve">Unit is M reads.
</t>
    </r>
  </si>
  <si>
    <r>
      <rPr>
        <b val="true"/>
        <sz val="11"/>
        <color rgb="FF000000"/>
        <rFont val="Calibri"/>
        <family val="2"/>
        <charset val="1"/>
      </rPr>
      <t xml:space="preserve">Data Unit
</t>
    </r>
    <r>
      <rPr>
        <b val="true"/>
        <sz val="11"/>
        <color rgb="FFFF0000"/>
        <rFont val="Calibri"/>
        <family val="2"/>
        <charset val="1"/>
      </rPr>
      <t xml:space="preserve">
(Choose M reads)
</t>
    </r>
  </si>
  <si>
    <r>
      <rPr>
        <b val="true"/>
        <sz val="11"/>
        <color rgb="FF000000"/>
        <rFont val="Calibri"/>
        <family val="2"/>
        <charset val="1"/>
      </rPr>
      <t xml:space="preserve">Wafer #
</t>
    </r>
    <r>
      <rPr>
        <b val="true"/>
        <sz val="11"/>
        <color rgb="FFFF0000"/>
        <rFont val="Calibri"/>
        <family val="2"/>
        <charset val="1"/>
      </rPr>
      <t xml:space="preserve">(REQUIRED)
</t>
    </r>
    <r>
      <rPr>
        <b val="true"/>
        <sz val="6"/>
        <rFont val="Calibri"/>
        <family val="2"/>
        <charset val="1"/>
      </rPr>
      <t xml:space="preserve">Indicate which wafer (#1, #2, etc.) the sample should be sequenced on. If only 1 wafer, not required. 
Reminder: Each wafer has a mximum amount of 10B reads</t>
    </r>
  </si>
  <si>
    <r>
      <rPr>
        <b val="true"/>
        <sz val="11"/>
        <color rgb="FF000000"/>
        <rFont val="Calibri"/>
        <family val="2"/>
        <charset val="1"/>
      </rPr>
      <t xml:space="preserve">Library status
</t>
    </r>
    <r>
      <rPr>
        <b val="true"/>
        <sz val="11"/>
        <color rgb="FFFF0000"/>
        <rFont val="Calibri"/>
        <family val="2"/>
        <charset val="1"/>
      </rPr>
      <t xml:space="preserve">(REQUIRED)
</t>
    </r>
  </si>
  <si>
    <r>
      <rPr>
        <b val="true"/>
        <sz val="11"/>
        <color rgb="FF000000"/>
        <rFont val="Calibri"/>
        <family val="2"/>
        <charset val="1"/>
      </rPr>
      <t xml:space="preserve">Concentration
(ng/uL)
</t>
    </r>
    <r>
      <rPr>
        <b val="true"/>
        <sz val="11"/>
        <color rgb="FFFF0000"/>
        <rFont val="Calibri"/>
        <family val="2"/>
        <charset val="1"/>
      </rPr>
      <t xml:space="preserve">(REQUIRED)</t>
    </r>
  </si>
  <si>
    <r>
      <rPr>
        <b val="true"/>
        <sz val="11"/>
        <color rgb="FF000000"/>
        <rFont val="Calibri"/>
        <family val="2"/>
        <charset val="1"/>
      </rPr>
      <t xml:space="preserve">Volume
(uL)
</t>
    </r>
    <r>
      <rPr>
        <b val="true"/>
        <sz val="11"/>
        <color rgb="FFFF0000"/>
        <rFont val="Calibri"/>
        <family val="2"/>
        <charset val="1"/>
      </rPr>
      <t xml:space="preserve">(REQUIRED)</t>
    </r>
  </si>
  <si>
    <r>
      <rPr>
        <b val="true"/>
        <sz val="11"/>
        <color rgb="FF000000"/>
        <rFont val="Calibri"/>
        <family val="2"/>
        <charset val="1"/>
      </rPr>
      <t xml:space="preserve">Peak Size
</t>
    </r>
    <r>
      <rPr>
        <b val="true"/>
        <sz val="11"/>
        <color rgb="FFFF0000"/>
        <rFont val="Calibri"/>
        <family val="2"/>
        <charset val="1"/>
      </rPr>
      <t xml:space="preserve">(Not Required)</t>
    </r>
  </si>
  <si>
    <r>
      <rPr>
        <b val="true"/>
        <sz val="11"/>
        <color rgb="FF000000"/>
        <rFont val="Calibri"/>
        <family val="2"/>
        <charset val="1"/>
      </rPr>
      <t xml:space="preserve">qPCR
(nM)
</t>
    </r>
    <r>
      <rPr>
        <b val="true"/>
        <sz val="11"/>
        <color rgb="FFFF0000"/>
        <rFont val="Calibri"/>
        <family val="2"/>
        <charset val="1"/>
      </rPr>
      <t xml:space="preserve">(Optional)</t>
    </r>
  </si>
  <si>
    <t xml:space="preserve">NOTES</t>
  </si>
  <si>
    <t xml:space="preserve">t_spl</t>
  </si>
  <si>
    <t xml:space="preserve">CATCTCAGTGCAATGAT</t>
  </si>
  <si>
    <t xml:space="preserve">wang-tetrapod-atlas</t>
  </si>
  <si>
    <t xml:space="preserve">GEX</t>
  </si>
  <si>
    <t xml:space="preserve">10x 3’ v4</t>
  </si>
  <si>
    <t xml:space="preserve">UG - FASTQ</t>
  </si>
  <si>
    <t xml:space="preserve">M raw reads</t>
  </si>
  <si>
    <t xml:space="preserve">Other</t>
  </si>
  <si>
    <t xml:space="preserve">P1_B8</t>
  </si>
  <si>
    <t xml:space="preserve">t_sm</t>
  </si>
  <si>
    <t xml:space="preserve">CAATGCACTCGAGAT</t>
  </si>
  <si>
    <t xml:space="preserve">P1_B9</t>
  </si>
  <si>
    <t xml:space="preserve">t_pc</t>
  </si>
  <si>
    <t xml:space="preserve">CTATGAATGAGCGAT</t>
  </si>
  <si>
    <t xml:space="preserve">P1_B10</t>
  </si>
  <si>
    <t xml:space="preserve">t_lv</t>
  </si>
  <si>
    <t xml:space="preserve">CTCTGCTGTGCAATGAT</t>
  </si>
  <si>
    <t xml:space="preserve">P1_B11</t>
  </si>
  <si>
    <t xml:space="preserve">t_sh</t>
  </si>
  <si>
    <t xml:space="preserve">CAATATGCACGTGAT</t>
  </si>
  <si>
    <t xml:space="preserve">P1_B12</t>
  </si>
  <si>
    <t xml:space="preserve">t_fb</t>
  </si>
  <si>
    <t xml:space="preserve">CATCACACATGAATGAT</t>
  </si>
  <si>
    <t xml:space="preserve">P1_C1</t>
  </si>
  <si>
    <t xml:space="preserve">t_mb</t>
  </si>
  <si>
    <t xml:space="preserve">CACGCACTGCCAGAT</t>
  </si>
  <si>
    <t xml:space="preserve">P1_C2</t>
  </si>
  <si>
    <t xml:space="preserve">t_hb</t>
  </si>
  <si>
    <t xml:space="preserve">CAATGCTCTGCATAGAT</t>
  </si>
  <si>
    <t xml:space="preserve">P1_C3</t>
  </si>
  <si>
    <t xml:space="preserve">t_kd</t>
  </si>
  <si>
    <t xml:space="preserve">CACTGTCAGCCAGAT</t>
  </si>
  <si>
    <t xml:space="preserve">P1_C4</t>
  </si>
  <si>
    <t xml:space="preserve">t_int</t>
  </si>
  <si>
    <t xml:space="preserve">CTGAATGATCTCGAT</t>
  </si>
  <si>
    <t xml:space="preserve">P1_C5</t>
  </si>
  <si>
    <t xml:space="preserve">t_eye</t>
  </si>
  <si>
    <t xml:space="preserve">CTCAATGCATCAGCGAT</t>
  </si>
  <si>
    <t xml:space="preserve">P1_C6</t>
  </si>
  <si>
    <t xml:space="preserve">Library Kit</t>
  </si>
  <si>
    <t xml:space="preserve">Library Type</t>
  </si>
  <si>
    <t xml:space="preserve">Application Preset</t>
  </si>
  <si>
    <t xml:space="preserve">Conversion Required?</t>
  </si>
  <si>
    <t xml:space="preserve">Conversion Indexing Primers</t>
  </si>
  <si>
    <t xml:space="preserve">Conversion Universal Primers</t>
  </si>
  <si>
    <t xml:space="preserve">Available Data Format</t>
  </si>
  <si>
    <t xml:space="preserve">Seq Recipe Substring</t>
  </si>
  <si>
    <t xml:space="preserve">application_type</t>
  </si>
  <si>
    <t xml:space="preserve">trimming_profile</t>
  </si>
  <si>
    <t xml:space="preserve">Wafer Type</t>
  </si>
  <si>
    <t xml:space="preserve">Multiplexing</t>
  </si>
  <si>
    <t xml:space="preserve">Analysis recipe</t>
  </si>
  <si>
    <t xml:space="preserve">Can NVG Run?</t>
  </si>
  <si>
    <t xml:space="preserve">Had NVG Run?</t>
  </si>
  <si>
    <t xml:space="preserve">Library Structure</t>
  </si>
  <si>
    <t xml:space="preserve">Note</t>
  </si>
  <si>
    <t xml:space="preserve">IDT xGen™ PCR-Free</t>
  </si>
  <si>
    <t xml:space="preserve">WGS native gDNA</t>
  </si>
  <si>
    <t xml:space="preserve">No</t>
  </si>
  <si>
    <t xml:space="preserve">CRAM</t>
  </si>
  <si>
    <t xml:space="preserve">116cycles</t>
  </si>
  <si>
    <t xml:space="preserve">native</t>
  </si>
  <si>
    <t xml:space="preserve">trimming of the native adapter sequence as well as identification and matching of the barcode sequence.</t>
  </si>
  <si>
    <t xml:space="preserve">Solaris Free</t>
  </si>
  <si>
    <t xml:space="preserve">Cannot be multiplexed together with Solaris Flex.</t>
  </si>
  <si>
    <t xml:space="preserve">wgs1</t>
  </si>
  <si>
    <t xml:space="preserve">Yes</t>
  </si>
  <si>
    <t xml:space="preserve">UG ppmSeq™ Cell-Free DNA Library
UG ppmSeq™ Genomic DNA Library</t>
  </si>
  <si>
    <t xml:space="preserve">ppmSeq</t>
  </si>
  <si>
    <t xml:space="preserve">CRAM with ppmSeq tags</t>
  </si>
  <si>
    <t xml:space="preserve">other</t>
  </si>
  <si>
    <t xml:space="preserve">ppmSeq (Legacy) V5</t>
  </si>
  <si>
    <t xml:space="preserve">ppmSeq_legacy_v5</t>
  </si>
  <si>
    <t xml:space="preserve">NEB Directional
WatchMaker Directional</t>
  </si>
  <si>
    <t xml:space="preserve">Bulk RNA-seq</t>
  </si>
  <si>
    <t xml:space="preserve">RNA-seq (Twist-UDI)</t>
  </si>
  <si>
    <t xml:space="preserve">tsR2 (unavailable at NVG)</t>
  </si>
  <si>
    <t xml:space="preserve">tsR1(unavailable at NVG)</t>
  </si>
  <si>
    <t xml:space="preserve">Unaligned CRAM (uCRAM)</t>
  </si>
  <si>
    <t xml:space="preserve">RNASeq_Twist_UDI</t>
  </si>
  <si>
    <t xml:space="preserve">Solaris Flex</t>
  </si>
  <si>
    <t xml:space="preserve">NA due to custom primers</t>
  </si>
  <si>
    <t xml:space="preserve">Chromium GEM-X Single Cell 3' v4 Gene Expression User Guide</t>
  </si>
  <si>
    <t xml:space="preserve">10X 3' scRNA v4</t>
  </si>
  <si>
    <t xml:space="preserve">tR1</t>
  </si>
  <si>
    <t xml:space="preserve">tR2</t>
  </si>
  <si>
    <t xml:space="preserve">Simulated paired-end FASTQ</t>
  </si>
  <si>
    <t xml:space="preserve">3scRNA</t>
  </si>
  <si>
    <t xml:space="preserve">scRNA_GEX_10x_3prime_v4</t>
  </si>
  <si>
    <t xml:space="preserve">Processing of converted 10x Next GEM 3’ Gene Expression v4 libraries includes trimming of native
adapter sequence, trimming of poly(dT) and conserved sequence remaining after conversion,
identification of the Ultima barcode and 10x cell barcode, as well as UMI identification.</t>
  </si>
  <si>
    <t xml:space="preserve">10x 3’ single cell libraries must be sequenced apart
from other applications.</t>
  </si>
  <si>
    <t xml:space="preserve">Chromium Single Cell 3' Reagent Kits User Guide (v3.1 Chemistry Dual Index)</t>
  </si>
  <si>
    <t xml:space="preserve">10X 3' scRNA v3</t>
  </si>
  <si>
    <t xml:space="preserve">scRNA_GEX_10x_3prime_v3</t>
  </si>
  <si>
    <t xml:space="preserve">Chromium GEM-X Single Cell 5' v3 Gene Expression</t>
  </si>
  <si>
    <t xml:space="preserve">10X 5' scRNA v3</t>
  </si>
  <si>
    <t xml:space="preserve">scRNA_GEX_10x_5prime_v3</t>
  </si>
  <si>
    <t xml:space="preserve">Processing of converted 10x GEM-X 5’ Gene Expression v3 libraries includes trimming of native adapter sequence, trimming of conserved sequences remaining after conversion, trimming of TSO region, identification of the Ultima barcode and 10x cell barcode, as well as UMI identification.</t>
  </si>
  <si>
    <t xml:space="preserve">Chromium Single Cell 5' Reagent Kits (v2 Chemistry Dual Index)</t>
  </si>
  <si>
    <t xml:space="preserve">10X 5' scRNA v2</t>
  </si>
  <si>
    <t xml:space="preserve">scRNA_GEX_10x_5prime_v2</t>
  </si>
  <si>
    <t xml:space="preserve">Chromium GEM-X Single Cell 5' v3 Gene Expression with Feature Barcoding technology for CRISPR Screening</t>
  </si>
  <si>
    <t xml:space="preserve">10X 5' scRNA v3 - CRISPR</t>
  </si>
  <si>
    <t xml:space="preserve">scRNA_CRISPR_10x_5prime_v3</t>
  </si>
  <si>
    <t xml:space="preserve">Chromium Fixed RNA Profiling Reagent Kits for Multiplexed Samples</t>
  </si>
  <si>
    <t xml:space="preserve">10X FLEX</t>
  </si>
  <si>
    <t xml:space="preserve">srR2</t>
  </si>
  <si>
    <t xml:space="preserve">75cycles</t>
  </si>
  <si>
    <t xml:space="preserve">scRNA_GEX_10x_flex</t>
  </si>
  <si>
    <t xml:space="preserve">Processing of converted 10x GEM-X FLEX Gene Expression libraries include trimming of native adapter
sequence, trimming of conserved sequences remaining after conversion, trimming of pCS1 region,
identification of the Ultima sample barcode, 10x cell barcode, and probe barcode, as well as UMI
identification.</t>
  </si>
  <si>
    <t xml:space="preserve">CRISPR Screening with GEM-X Flex Gene Expression</t>
  </si>
  <si>
    <t xml:space="preserve">10X FLEX - CRISPR</t>
  </si>
  <si>
    <t xml:space="preserve">scRNA_CRISPR_10x_flex</t>
  </si>
  <si>
    <t xml:space="preserve">Processing of converted 10x GEM-X Flex CRISPR libraries includes trimming of native adapter
sequence, trimming of conserved sequences remaining after conversion, trimming of capture sequence
(pCS1), identification/matching of the Ultima barcode and 10x cell barcode, as well as UMI identification.</t>
  </si>
  <si>
    <t xml:space="preserve">Chromium Single Cell ATAC Reagent Kits User Guide (v2 Chemistry)</t>
  </si>
  <si>
    <t xml:space="preserve">10x ATAC v2</t>
  </si>
  <si>
    <t xml:space="preserve">tP5</t>
  </si>
  <si>
    <t xml:space="preserve">nxR2</t>
  </si>
  <si>
    <t xml:space="preserve">scRNA_ATAC_10x_v2</t>
  </si>
  <si>
    <t xml:space="preserve">Processing of converted 10x Next GEM Single Cell ATAC v2 libraries include trimming of native adapter
sequences, trimming of conserved sequences remaining after conversion, trimming of the spacer
region, as well as identification of the Ultima sample barcode and 10x cell barcode.</t>
  </si>
  <si>
    <t xml:space="preserve">Chromium Next GEM Single Cell Multiome ATAC + Gene Expression Reagent Kits</t>
  </si>
  <si>
    <t xml:space="preserve">10x Multiome ATAC + GEX</t>
  </si>
  <si>
    <t xml:space="preserve">check 10x GEX and ATAC respectively</t>
  </si>
  <si>
    <t xml:space="preserve">ATAC: 116cycles
GEX: 3scRNA</t>
  </si>
  <si>
    <t xml:space="preserve">GEX: scRNA_GEX_10x_3prime_multiome
ATAC: scRNA_ATAC_10x_multiome</t>
  </si>
  <si>
    <t xml:space="preserve">Chromium GEM-X Single Cell 5' v3 Gene Expression with Feature Barcoding technology for Cell Surface Protein and CRISPR Screening User Guide</t>
  </si>
  <si>
    <t xml:space="preserve">10x 5’ Feature Barcoding v3</t>
  </si>
  <si>
    <t xml:space="preserve">NA</t>
  </si>
  <si>
    <t xml:space="preserve">scRNA_FeatureBarcode_10x_5prime_v3</t>
  </si>
  <si>
    <t xml:space="preserve">Processing of converted 10x GEM-X 5’ Feature Barcoding libraries includes trimming of native adapter
sequence, trimming of conserved sequences remaining after conversion, trimming of capture sequence
region, identification of the Ultima barcode and 10x cell barcode, as well as UMI identification.</t>
  </si>
  <si>
    <t xml:space="preserve">Chromium GEM-X Single Cell 3' v4 Gene Expression with Feature Barcoding technology for Cell Surface Protein User Guide</t>
  </si>
  <si>
    <t xml:space="preserve">10x 3’ Feature Barcoding v4</t>
  </si>
  <si>
    <t xml:space="preserve">scRNA_FeatureBarcode_10x_3prime_v4</t>
  </si>
  <si>
    <t xml:space="preserve">Processing of converted 10x GEM-X 3’ Feature Barcoding libraries includes trimming of native adapter
sequence, trimming of conserved sequences remaining after conversion, trimming of capture sequence
region, identification of the Ultima barcode and 10x cell barcode, as well as UMI identification.</t>
  </si>
  <si>
    <t xml:space="preserve">Visium HD Spatial Gene Expression Reagent Kits</t>
  </si>
  <si>
    <t xml:space="preserve">10X Visium HD (generic)</t>
  </si>
  <si>
    <t xml:space="preserve">VisiumHD</t>
  </si>
  <si>
    <t xml:space="preserve">scRNA_visiumHD_10x_generic</t>
  </si>
  <si>
    <t xml:space="preserve">Processing of converted 10x Visium HD Spatial Gene Expression libraries includes trimming of native
adapter sequence, trimming of conserved sequences remaining after conversion, trimming of the
poly(dT) region, identification of the Ultima barcode and 10x spatial barcode, as well as UMI
identification. For 10x Visium HD Spatial Gene Expression libraries, Trimmer also includes probe
matching for standard 10x human or mouse probesets. The scRNA_visiumHD_10x_generic workflow
does not include probe matching.</t>
  </si>
  <si>
    <t xml:space="preserve">VisiumHD libraries must be sequenced apart from
other applications.</t>
  </si>
  <si>
    <t xml:space="preserve">Must be sequenced individually</t>
  </si>
  <si>
    <t xml:space="preserve">10X Visium HD (human)</t>
  </si>
  <si>
    <t xml:space="preserve">scRNA_visiumHD_10x_human_probeset_v2</t>
  </si>
  <si>
    <t xml:space="preserve">10X Visium HD (mouse)</t>
  </si>
  <si>
    <t xml:space="preserve">scRNA_visiumHD_10x_mouse_probeset_v2</t>
  </si>
  <si>
    <t xml:space="preserve">JumboSci</t>
  </si>
  <si>
    <t xml:space="preserve">UG_diffPolish_Shendure_3scRNA_Baseline_Custom</t>
  </si>
  <si>
    <t xml:space="preserve">test</t>
  </si>
  <si>
    <t xml:space="preserve">Parse Evercode WT v3</t>
  </si>
  <si>
    <t xml:space="preserve">Parse scRNA v3</t>
  </si>
  <si>
    <t xml:space="preserve">trR2</t>
  </si>
  <si>
    <t xml:space="preserve">trR1</t>
  </si>
  <si>
    <t xml:space="preserve">ParseV3</t>
  </si>
  <si>
    <t xml:space="preserve">scRNA_Parse_v3</t>
  </si>
  <si>
    <t xml:space="preserve">ParseBio_v3_no_limit</t>
  </si>
  <si>
    <t xml:space="preserve">Parse Evercode WT v3 libraries must be sequenced
apart from other applications.</t>
  </si>
  <si>
    <t xml:space="preserve">Parse Evercode WT v2</t>
  </si>
  <si>
    <t xml:space="preserve">Parse scRNA v2</t>
  </si>
  <si>
    <t xml:space="preserve">Parse</t>
  </si>
  <si>
    <t xml:space="preserve">scRNA_Parse</t>
  </si>
  <si>
    <t xml:space="preserve">Processing of converted Parse Evercode WT v3 libraries includes trimming of native adapter sequence
and trimming of conserved sequences remaining after conversion. Followed by trimming of the poly(dT)
region and linker regions between barcodes. Trimmer also performs identification/matching of the
Ultima barcode and Parse barcodes (BC1, BC2, BC3) and UMI.</t>
  </si>
  <si>
    <t xml:space="preserve">Parse Evercode WT v2 libraries must be sequenced
apart from other applications.</t>
  </si>
  <si>
    <t xml:space="preserve">Scale Bio</t>
  </si>
  <si>
    <t xml:space="preserve">Scale (QuantumScale)</t>
  </si>
  <si>
    <t xml:space="preserve">Scale</t>
  </si>
  <si>
    <t xml:space="preserve">scRNA_GEX_scale_quantum</t>
  </si>
  <si>
    <t xml:space="preserve">Scale Biosciences libraries must be sequenced apart
from other applications.</t>
  </si>
  <si>
    <t xml:space="preserve">Scale (ScalePlex)</t>
  </si>
  <si>
    <t xml:space="preserve">CRAM (containing ScalePlex tag)</t>
  </si>
  <si>
    <t xml:space="preserve">scRNA_PLEX_scale_quantum</t>
  </si>
  <si>
    <t xml:space="preserve">Processing of Scale Biosciences ScalePlex libraries includes trimming of the native adapter sequences, Ultima
barcode matching, trimming of conserved sequences (CUS, linkers), followed by barcode matching. UMI and plate
barcode regions are identified and matched, as well as trimming of the poly(dT) region. The resulting CRAM file will
report the ScalePlex oligo sequencing for demultiplexing.</t>
  </si>
  <si>
    <t xml:space="preserve">converted library (Nextera)</t>
  </si>
  <si>
    <t xml:space="preserve">nxR1</t>
  </si>
  <si>
    <t xml:space="preserve">converted-nextera</t>
  </si>
  <si>
    <t xml:space="preserve">converted library (Truseq)</t>
  </si>
  <si>
    <t xml:space="preserve">converted-truseq</t>
  </si>
  <si>
    <t xml:space="preserve">uCRAM</t>
  </si>
  <si>
    <t xml:space="preserve">No processing – The application_type = “test” is designed for use in cases where a non-supported
library structure is being evaluated, and alignment/analysis is not carried out on the sequencing
platform.</t>
  </si>
  <si>
    <t xml:space="preserve">will do quality filtering.</t>
  </si>
  <si>
    <t xml:space="preserve">No quality filtering, but trim UG adapters.</t>
  </si>
  <si>
    <t xml:space="preserve">NEBNext® Enzymatic Methyl-seq Kit
</t>
  </si>
  <si>
    <t xml:space="preserve">EM-seq (NEB)</t>
  </si>
  <si>
    <t xml:space="preserve">Methylation-aware CRAM</t>
  </si>
  <si>
    <t xml:space="preserve">converted_methylation</t>
  </si>
  <si>
    <t xml:space="preserve">xGen Methyl-Sequencing DNA Library Prep Kit</t>
  </si>
  <si>
    <t xml:space="preserve">IDT Methyl-Seq</t>
  </si>
  <si>
    <t xml:space="preserve">converted_IDT_methylation</t>
  </si>
  <si>
    <t xml:space="preserve">Processing of converted IDT xGEN Methyl-Seq libraries includes trimming of native adapter sequence,
trimming of conserved sequence remaining after conversion, as well as identification of Ultima barcode
sequences.</t>
  </si>
  <si>
    <t xml:space="preserve">xGen cfDNA &amp; FFPE DNA Library Preparation Kit</t>
  </si>
  <si>
    <t xml:space="preserve">IDT xGen (FFPE, cfDNA)</t>
  </si>
  <si>
    <t xml:space="preserve">UG_xgen</t>
  </si>
  <si>
    <t xml:space="preserve">Olink - Explore 3072</t>
  </si>
  <si>
    <t xml:space="preserve">Counts File (hist.csv)</t>
  </si>
  <si>
    <t xml:space="preserve">54cycles</t>
  </si>
  <si>
    <t xml:space="preserve">olink_explore_3072</t>
  </si>
  <si>
    <t xml:space="preserve">Olink® Explore HT (For use with Olink Explore HT kits using Index Plate C)</t>
  </si>
  <si>
    <t xml:space="preserve">Olink - Explore HT</t>
  </si>
  <si>
    <t xml:space="preserve">tP7</t>
  </si>
  <si>
    <t xml:space="preserve">olink_explore_HT</t>
  </si>
  <si>
    <t xml:space="preserve">Olink - Explore HT (Legacy)</t>
  </si>
  <si>
    <t xml:space="preserve">olink_explore_HT_legacy</t>
  </si>
  <si>
    <t xml:space="preserve">Olink® Reveal</t>
  </si>
  <si>
    <t xml:space="preserve">Olink - Reveal</t>
  </si>
  <si>
    <t xml:space="preserve">olink_reveal</t>
  </si>
  <si>
    <t xml:space="preserve">Ancient DNA - double stranded</t>
  </si>
  <si>
    <t xml:space="preserve">aDNA-ds</t>
  </si>
  <si>
    <t xml:space="preserve">Ancient DNA - single stranded</t>
  </si>
  <si>
    <t xml:space="preserve">aDNA-ss</t>
  </si>
  <si>
    <t xml:space="preserve">AtlasXomics </t>
  </si>
  <si>
    <t xml:space="preserve">custom</t>
  </si>
  <si>
    <t xml:space="preserve">atlasxomics</t>
  </si>
  <si>
    <t xml:space="preserve">Processing of AtlasXomics libraries includes trimming of adapter sequences, Ultima barcode matching,
trimming of conserved sequences, linker regions, and barcode matching.</t>
  </si>
  <si>
    <t xml:space="preserve">Bioskryb ResolveDNA
Bioskryb ResolveOME</t>
  </si>
  <si>
    <t xml:space="preserve">Processing of Bioskryb ResolveDNA and ResolveOME libraries includes trimming of the native adapter
sequence and remaining conserved sequence, as well as matching of the Ultima barcode sequence.</t>
  </si>
  <si>
    <t xml:space="preserve">Twist FlexPrepTM UHT Library Preparation Kit</t>
  </si>
  <si>
    <t xml:space="preserve">Low-Pass WGS</t>
  </si>
  <si>
    <t xml:space="preserve">lowpass_twist_v2</t>
  </si>
  <si>
    <t xml:space="preserve">Z#</t>
  </si>
  <si>
    <t xml:space="preserve">BC Seq</t>
  </si>
  <si>
    <t xml:space="preserve">Plate</t>
  </si>
  <si>
    <t xml:space="preserve">Well</t>
  </si>
  <si>
    <t xml:space="preserve">Z0001</t>
  </si>
  <si>
    <t xml:space="preserve">CAGCTCGAATGCGAT</t>
  </si>
  <si>
    <t xml:space="preserve">A1</t>
  </si>
  <si>
    <t xml:space="preserve">Z0002</t>
  </si>
  <si>
    <t xml:space="preserve">CATGTGCAGCCATCGAT</t>
  </si>
  <si>
    <t xml:space="preserve">B1</t>
  </si>
  <si>
    <t xml:space="preserve">Z0003</t>
  </si>
  <si>
    <t xml:space="preserve">C1</t>
  </si>
  <si>
    <t xml:space="preserve">Z0004</t>
  </si>
  <si>
    <t xml:space="preserve">CTGTGTAGGCATGAT</t>
  </si>
  <si>
    <t xml:space="preserve">D1</t>
  </si>
  <si>
    <t xml:space="preserve">Z0005</t>
  </si>
  <si>
    <t xml:space="preserve">CATGTATCCTCTGAT</t>
  </si>
  <si>
    <t xml:space="preserve">E1</t>
  </si>
  <si>
    <t xml:space="preserve">Z0006</t>
  </si>
  <si>
    <t xml:space="preserve">CATATAGCCTATGAT</t>
  </si>
  <si>
    <t xml:space="preserve">F1</t>
  </si>
  <si>
    <t xml:space="preserve">Z0007</t>
  </si>
  <si>
    <t xml:space="preserve">CGATTCATGCTCGAT</t>
  </si>
  <si>
    <t xml:space="preserve">G1</t>
  </si>
  <si>
    <t xml:space="preserve">Z0008</t>
  </si>
  <si>
    <t xml:space="preserve">CACATCCTGCATGTGAT</t>
  </si>
  <si>
    <t xml:space="preserve">H1</t>
  </si>
  <si>
    <t xml:space="preserve">Z0009</t>
  </si>
  <si>
    <t xml:space="preserve">CGCGCATCCTGCATGAT</t>
  </si>
  <si>
    <t xml:space="preserve">A2</t>
  </si>
  <si>
    <t xml:space="preserve">Z0010</t>
  </si>
  <si>
    <t xml:space="preserve">CACTGCACGAATGAT</t>
  </si>
  <si>
    <t xml:space="preserve">B2</t>
  </si>
  <si>
    <t xml:space="preserve">Z0011</t>
  </si>
  <si>
    <t xml:space="preserve">C2</t>
  </si>
  <si>
    <t xml:space="preserve">Z0012</t>
  </si>
  <si>
    <t xml:space="preserve">CTGCCATAGCACGAT</t>
  </si>
  <si>
    <t xml:space="preserve">D2</t>
  </si>
  <si>
    <t xml:space="preserve">Z0013</t>
  </si>
  <si>
    <t xml:space="preserve">CAGTTGTGCTGTGAT</t>
  </si>
  <si>
    <t xml:space="preserve">E2</t>
  </si>
  <si>
    <t xml:space="preserve">Z0014</t>
  </si>
  <si>
    <t xml:space="preserve">CATGGCGCGATCATGAT</t>
  </si>
  <si>
    <t xml:space="preserve">F2</t>
  </si>
  <si>
    <t xml:space="preserve">Z0015</t>
  </si>
  <si>
    <t xml:space="preserve">CTTAGATATCATGAT</t>
  </si>
  <si>
    <t xml:space="preserve">G2</t>
  </si>
  <si>
    <t xml:space="preserve">Z0016</t>
  </si>
  <si>
    <t xml:space="preserve">CATCCTGTGCGCATGAT</t>
  </si>
  <si>
    <t xml:space="preserve">H2</t>
  </si>
  <si>
    <t xml:space="preserve">Z0017</t>
  </si>
  <si>
    <t xml:space="preserve">CACGTGGCACATGAT</t>
  </si>
  <si>
    <t xml:space="preserve">A3</t>
  </si>
  <si>
    <t xml:space="preserve">Z0018</t>
  </si>
  <si>
    <t xml:space="preserve">CATGCGTCCTGTGAT</t>
  </si>
  <si>
    <t xml:space="preserve">B3</t>
  </si>
  <si>
    <t xml:space="preserve">Z0019</t>
  </si>
  <si>
    <t xml:space="preserve">C3</t>
  </si>
  <si>
    <t xml:space="preserve">Z0020</t>
  </si>
  <si>
    <t xml:space="preserve">CTACATTGCACAGAT</t>
  </si>
  <si>
    <t xml:space="preserve">D3</t>
  </si>
  <si>
    <t xml:space="preserve">Z0021</t>
  </si>
  <si>
    <t xml:space="preserve">CATAGCGAGCCAGAT</t>
  </si>
  <si>
    <t xml:space="preserve">E3</t>
  </si>
  <si>
    <t xml:space="preserve">Z0022</t>
  </si>
  <si>
    <t xml:space="preserve">CGGAGTGCATGCATGAT</t>
  </si>
  <si>
    <t xml:space="preserve">F3</t>
  </si>
  <si>
    <t xml:space="preserve">Z0023</t>
  </si>
  <si>
    <t xml:space="preserve">CATGGAGATACTGAT</t>
  </si>
  <si>
    <t xml:space="preserve">G3</t>
  </si>
  <si>
    <t xml:space="preserve">Z0024</t>
  </si>
  <si>
    <t xml:space="preserve">CTGAGCCTGTCAGAT</t>
  </si>
  <si>
    <t xml:space="preserve">H3</t>
  </si>
  <si>
    <t xml:space="preserve">Z0025</t>
  </si>
  <si>
    <t xml:space="preserve">CTCGAGATTGATGAT</t>
  </si>
  <si>
    <t xml:space="preserve">A4</t>
  </si>
  <si>
    <t xml:space="preserve">Z0026</t>
  </si>
  <si>
    <t xml:space="preserve">CATCCATCTCATCTGAT</t>
  </si>
  <si>
    <t xml:space="preserve">B4</t>
  </si>
  <si>
    <t xml:space="preserve">Z0027</t>
  </si>
  <si>
    <t xml:space="preserve">C4</t>
  </si>
  <si>
    <t xml:space="preserve">Z0028</t>
  </si>
  <si>
    <t xml:space="preserve">CAGACTTGCTGCGAT</t>
  </si>
  <si>
    <t xml:space="preserve">D4</t>
  </si>
  <si>
    <t xml:space="preserve">Z0029</t>
  </si>
  <si>
    <t xml:space="preserve">CATATAGCAGGAGAT</t>
  </si>
  <si>
    <t xml:space="preserve">E4</t>
  </si>
  <si>
    <t xml:space="preserve">Z0030</t>
  </si>
  <si>
    <t xml:space="preserve">CATGTCTAAGATGAT</t>
  </si>
  <si>
    <t xml:space="preserve">F4</t>
  </si>
  <si>
    <t xml:space="preserve">Z0031</t>
  </si>
  <si>
    <t xml:space="preserve">CATCGCAGCTGAATGAT</t>
  </si>
  <si>
    <t xml:space="preserve">G4</t>
  </si>
  <si>
    <t xml:space="preserve">Z0032</t>
  </si>
  <si>
    <t xml:space="preserve">CTCTGTATTGCAGAT</t>
  </si>
  <si>
    <t xml:space="preserve">H4</t>
  </si>
  <si>
    <t xml:space="preserve">Z0033</t>
  </si>
  <si>
    <t xml:space="preserve">CATCATCGATTCGAT</t>
  </si>
  <si>
    <t xml:space="preserve">A5</t>
  </si>
  <si>
    <t xml:space="preserve">Z0034</t>
  </si>
  <si>
    <t xml:space="preserve">CTGTGAATATGCGAT</t>
  </si>
  <si>
    <t xml:space="preserve">B5</t>
  </si>
  <si>
    <t xml:space="preserve">Z0035</t>
  </si>
  <si>
    <t xml:space="preserve">C5</t>
  </si>
  <si>
    <t xml:space="preserve">Z0036</t>
  </si>
  <si>
    <t xml:space="preserve">CAGAAGCTGCATGAGAT</t>
  </si>
  <si>
    <t xml:space="preserve">D5</t>
  </si>
  <si>
    <t xml:space="preserve">Z0037</t>
  </si>
  <si>
    <t xml:space="preserve">CTAGATTGCGCAGAT</t>
  </si>
  <si>
    <t xml:space="preserve">E5</t>
  </si>
  <si>
    <t xml:space="preserve">Z0038</t>
  </si>
  <si>
    <t xml:space="preserve">CGCATCCTCACAGAT</t>
  </si>
  <si>
    <t xml:space="preserve">F5</t>
  </si>
  <si>
    <t xml:space="preserve">Z0039</t>
  </si>
  <si>
    <t xml:space="preserve">CACAACATATCAGAT</t>
  </si>
  <si>
    <t xml:space="preserve">G5</t>
  </si>
  <si>
    <t xml:space="preserve">Z0040</t>
  </si>
  <si>
    <t xml:space="preserve">CATCCTGCATCGCAGAT</t>
  </si>
  <si>
    <t xml:space="preserve">H5</t>
  </si>
  <si>
    <t xml:space="preserve">Z0041</t>
  </si>
  <si>
    <t xml:space="preserve">CACATCAGCTCAATGAT</t>
  </si>
  <si>
    <t xml:space="preserve">A6</t>
  </si>
  <si>
    <t xml:space="preserve">Z0042</t>
  </si>
  <si>
    <t xml:space="preserve">CATGCATATAATGCGAT</t>
  </si>
  <si>
    <t xml:space="preserve">B6</t>
  </si>
  <si>
    <t xml:space="preserve">Z0043</t>
  </si>
  <si>
    <t xml:space="preserve">C6</t>
  </si>
  <si>
    <t xml:space="preserve">Z0044</t>
  </si>
  <si>
    <t xml:space="preserve">CAATGTGTGCTAGAT</t>
  </si>
  <si>
    <t xml:space="preserve">D6</t>
  </si>
  <si>
    <t xml:space="preserve">Z0045</t>
  </si>
  <si>
    <t xml:space="preserve">CTCAGCCTCATGCTGAT</t>
  </si>
  <si>
    <t xml:space="preserve">E6</t>
  </si>
  <si>
    <t xml:space="preserve">Z0046</t>
  </si>
  <si>
    <t xml:space="preserve">CTCTCGCATGCAATGAT</t>
  </si>
  <si>
    <t xml:space="preserve">F6</t>
  </si>
  <si>
    <t xml:space="preserve">Z0047</t>
  </si>
  <si>
    <t xml:space="preserve">CTAGCAGCCAGCGAT</t>
  </si>
  <si>
    <t xml:space="preserve">G6</t>
  </si>
  <si>
    <t xml:space="preserve">Z0048</t>
  </si>
  <si>
    <t xml:space="preserve">CTGCCAGACTGTGAT</t>
  </si>
  <si>
    <t xml:space="preserve">H6</t>
  </si>
  <si>
    <t xml:space="preserve">Z0049</t>
  </si>
  <si>
    <t xml:space="preserve">CGCACTGCTCCTGAT</t>
  </si>
  <si>
    <t xml:space="preserve">A7</t>
  </si>
  <si>
    <t xml:space="preserve">Z0050</t>
  </si>
  <si>
    <t xml:space="preserve">CACATGGCAGCACAGAT</t>
  </si>
  <si>
    <t xml:space="preserve">B7</t>
  </si>
  <si>
    <t xml:space="preserve">Z0051</t>
  </si>
  <si>
    <t xml:space="preserve">CACTTGCAGATCGAT</t>
  </si>
  <si>
    <t xml:space="preserve">C7</t>
  </si>
  <si>
    <t xml:space="preserve">Z0052</t>
  </si>
  <si>
    <t xml:space="preserve">CTATGCCACAGCATGAT</t>
  </si>
  <si>
    <t xml:space="preserve">D7</t>
  </si>
  <si>
    <t xml:space="preserve">Z0053</t>
  </si>
  <si>
    <t xml:space="preserve">CAACATCAGCATGAGAT</t>
  </si>
  <si>
    <t xml:space="preserve">E7</t>
  </si>
  <si>
    <t xml:space="preserve">Z0054</t>
  </si>
  <si>
    <t xml:space="preserve">CTGCAGTGATTCATGAT</t>
  </si>
  <si>
    <t xml:space="preserve">F7</t>
  </si>
  <si>
    <t xml:space="preserve">Z0055</t>
  </si>
  <si>
    <t xml:space="preserve">CAGCACCTGCATCAGAT</t>
  </si>
  <si>
    <t xml:space="preserve">G7</t>
  </si>
  <si>
    <t xml:space="preserve">Z0056</t>
  </si>
  <si>
    <t xml:space="preserve">CTTATGCTATCAGAT</t>
  </si>
  <si>
    <t xml:space="preserve">H7</t>
  </si>
  <si>
    <t xml:space="preserve">Z0057</t>
  </si>
  <si>
    <t xml:space="preserve">CAATGCGTGCTGCAGAT</t>
  </si>
  <si>
    <t xml:space="preserve">A8</t>
  </si>
  <si>
    <t xml:space="preserve">Z0058</t>
  </si>
  <si>
    <t xml:space="preserve">B8</t>
  </si>
  <si>
    <t xml:space="preserve">Z0059</t>
  </si>
  <si>
    <t xml:space="preserve">CATGTGCTTCGCATGAT</t>
  </si>
  <si>
    <t xml:space="preserve">C8</t>
  </si>
  <si>
    <t xml:space="preserve">Z0060</t>
  </si>
  <si>
    <t xml:space="preserve">CATGAGTGCAGCCAGAT</t>
  </si>
  <si>
    <t xml:space="preserve">D8</t>
  </si>
  <si>
    <t xml:space="preserve">Z0061</t>
  </si>
  <si>
    <t xml:space="preserve">CTCAAGCATGTGCTGAT</t>
  </si>
  <si>
    <t xml:space="preserve">E8</t>
  </si>
  <si>
    <t xml:space="preserve">Z0062</t>
  </si>
  <si>
    <t xml:space="preserve">CACAGTCAATGTGAT</t>
  </si>
  <si>
    <t xml:space="preserve">F8</t>
  </si>
  <si>
    <t xml:space="preserve">Z0063</t>
  </si>
  <si>
    <t xml:space="preserve">CACACTTGATGCGAT</t>
  </si>
  <si>
    <t xml:space="preserve">G8</t>
  </si>
  <si>
    <t xml:space="preserve">Z0064</t>
  </si>
  <si>
    <t xml:space="preserve">CATAGAGCCTCAGAT</t>
  </si>
  <si>
    <t xml:space="preserve">H8</t>
  </si>
  <si>
    <t xml:space="preserve">Z0065</t>
  </si>
  <si>
    <t xml:space="preserve">CTTGTGTCATGAGAT</t>
  </si>
  <si>
    <t xml:space="preserve">A9</t>
  </si>
  <si>
    <t xml:space="preserve">Z0066</t>
  </si>
  <si>
    <t xml:space="preserve">B9</t>
  </si>
  <si>
    <t xml:space="preserve">Z0067</t>
  </si>
  <si>
    <t xml:space="preserve">CTTATGAGCGCTGAT</t>
  </si>
  <si>
    <t xml:space="preserve">C9</t>
  </si>
  <si>
    <t xml:space="preserve">Z0068</t>
  </si>
  <si>
    <t xml:space="preserve">CGTCATTGCACAGAT</t>
  </si>
  <si>
    <t xml:space="preserve">D9</t>
  </si>
  <si>
    <t xml:space="preserve">Z0069</t>
  </si>
  <si>
    <t xml:space="preserve">CATCACTGCAACGAT</t>
  </si>
  <si>
    <t xml:space="preserve">E9</t>
  </si>
  <si>
    <t xml:space="preserve">Z0070</t>
  </si>
  <si>
    <t xml:space="preserve">CTTGCATGCGATGCGAT</t>
  </si>
  <si>
    <t xml:space="preserve">F9</t>
  </si>
  <si>
    <t xml:space="preserve">Z0071</t>
  </si>
  <si>
    <t xml:space="preserve">CGTGCGCAAGCAGAT</t>
  </si>
  <si>
    <t xml:space="preserve">G9</t>
  </si>
  <si>
    <t xml:space="preserve">Z0072</t>
  </si>
  <si>
    <t xml:space="preserve">CTATCTCATAATGAT</t>
  </si>
  <si>
    <t xml:space="preserve">H9</t>
  </si>
  <si>
    <t xml:space="preserve">Z0073</t>
  </si>
  <si>
    <t xml:space="preserve">CATGGCTATGCACTGAT</t>
  </si>
  <si>
    <t xml:space="preserve">A10</t>
  </si>
  <si>
    <t xml:space="preserve">Z0074</t>
  </si>
  <si>
    <t xml:space="preserve">B10</t>
  </si>
  <si>
    <t xml:space="preserve">Z0075</t>
  </si>
  <si>
    <t xml:space="preserve">CTATGCACCATCGAT</t>
  </si>
  <si>
    <t xml:space="preserve">C10</t>
  </si>
  <si>
    <t xml:space="preserve">Z0076</t>
  </si>
  <si>
    <t xml:space="preserve">CACAATGTGCGCGAT</t>
  </si>
  <si>
    <t xml:space="preserve">D10</t>
  </si>
  <si>
    <t xml:space="preserve">Z0077</t>
  </si>
  <si>
    <t xml:space="preserve">CAATGACTATCTGAT</t>
  </si>
  <si>
    <t xml:space="preserve">E10</t>
  </si>
  <si>
    <t xml:space="preserve">Z0078</t>
  </si>
  <si>
    <t xml:space="preserve">CAGCCGCTGCTCGAT</t>
  </si>
  <si>
    <t xml:space="preserve">F10</t>
  </si>
  <si>
    <t xml:space="preserve">Z0079</t>
  </si>
  <si>
    <t xml:space="preserve">CGCGCGCAGAATGAT</t>
  </si>
  <si>
    <t xml:space="preserve">G10</t>
  </si>
  <si>
    <t xml:space="preserve">Z0080</t>
  </si>
  <si>
    <t xml:space="preserve">CAGCCTCAGCGTGAT</t>
  </si>
  <si>
    <t xml:space="preserve">H10</t>
  </si>
  <si>
    <t xml:space="preserve">Z0081</t>
  </si>
  <si>
    <t xml:space="preserve">CTTGATCATACAGAT</t>
  </si>
  <si>
    <t xml:space="preserve">A11</t>
  </si>
  <si>
    <t xml:space="preserve">Z0082</t>
  </si>
  <si>
    <t xml:space="preserve">B11</t>
  </si>
  <si>
    <t xml:space="preserve">Z0083</t>
  </si>
  <si>
    <t xml:space="preserve">CAGTGTATTGCTGAT</t>
  </si>
  <si>
    <t xml:space="preserve">C11</t>
  </si>
  <si>
    <t xml:space="preserve">Z0084</t>
  </si>
  <si>
    <t xml:space="preserve">CTGTGCATCTGCCTGAT</t>
  </si>
  <si>
    <t xml:space="preserve">D11</t>
  </si>
  <si>
    <t xml:space="preserve">Z0085</t>
  </si>
  <si>
    <t xml:space="preserve">CTCTATGTTGCTGAT</t>
  </si>
  <si>
    <t xml:space="preserve">E11</t>
  </si>
  <si>
    <t xml:space="preserve">Z0086</t>
  </si>
  <si>
    <t xml:space="preserve">CAACTATCTGCAGAT</t>
  </si>
  <si>
    <t xml:space="preserve">F11</t>
  </si>
  <si>
    <t xml:space="preserve">Z0087</t>
  </si>
  <si>
    <t xml:space="preserve">CAGATCTCATGAATGAT</t>
  </si>
  <si>
    <t xml:space="preserve">G11</t>
  </si>
  <si>
    <t xml:space="preserve">Z0088</t>
  </si>
  <si>
    <t xml:space="preserve">CTATCATCCAGTGAT</t>
  </si>
  <si>
    <t xml:space="preserve">H11</t>
  </si>
  <si>
    <t xml:space="preserve">Z0089</t>
  </si>
  <si>
    <t xml:space="preserve">CTGCTACAAGCAGAT</t>
  </si>
  <si>
    <t xml:space="preserve">A12</t>
  </si>
  <si>
    <t xml:space="preserve">Z0090</t>
  </si>
  <si>
    <t xml:space="preserve">B12</t>
  </si>
  <si>
    <t xml:space="preserve">Z0091</t>
  </si>
  <si>
    <t xml:space="preserve">CACTTCTGCGATGAT</t>
  </si>
  <si>
    <t xml:space="preserve">C12</t>
  </si>
  <si>
    <t xml:space="preserve">Z0092</t>
  </si>
  <si>
    <t xml:space="preserve">CAAGCATATCTAGAT</t>
  </si>
  <si>
    <t xml:space="preserve">D12</t>
  </si>
  <si>
    <t xml:space="preserve">Z0093</t>
  </si>
  <si>
    <t xml:space="preserve">CAATGACAGCTCGAT</t>
  </si>
  <si>
    <t xml:space="preserve">E12</t>
  </si>
  <si>
    <t xml:space="preserve">Z0094</t>
  </si>
  <si>
    <t xml:space="preserve">CTGATGAGCTTGATGAT</t>
  </si>
  <si>
    <t xml:space="preserve">F12</t>
  </si>
  <si>
    <t xml:space="preserve">Z0095</t>
  </si>
  <si>
    <t xml:space="preserve">CATATGACCTGAGAT</t>
  </si>
  <si>
    <t xml:space="preserve">G12</t>
  </si>
  <si>
    <t xml:space="preserve">Z0096</t>
  </si>
  <si>
    <t xml:space="preserve">CAGCCGATATCAGAT</t>
  </si>
  <si>
    <t xml:space="preserve">H12</t>
  </si>
  <si>
    <t xml:space="preserve">Z0097</t>
  </si>
  <si>
    <t xml:space="preserve">CAGTCAGTTGCAGAT</t>
  </si>
  <si>
    <t xml:space="preserve">Z0098</t>
  </si>
  <si>
    <t xml:space="preserve">CAACAGATGTATGAT</t>
  </si>
  <si>
    <t xml:space="preserve">Z0099</t>
  </si>
  <si>
    <t xml:space="preserve">CTCATCTGCGCAATGAT</t>
  </si>
  <si>
    <t xml:space="preserve">Z0100</t>
  </si>
  <si>
    <t xml:space="preserve">CGGATCATGCGTGAT</t>
  </si>
  <si>
    <t xml:space="preserve">Z0101</t>
  </si>
  <si>
    <t xml:space="preserve">CTATTGCATGCTCTGAT</t>
  </si>
  <si>
    <t xml:space="preserve">Z0102</t>
  </si>
  <si>
    <t xml:space="preserve">CTACCTGATGCAGAT</t>
  </si>
  <si>
    <t xml:space="preserve">Z0103</t>
  </si>
  <si>
    <t xml:space="preserve">CATATAATCACAGAT</t>
  </si>
  <si>
    <t xml:space="preserve">Z0104</t>
  </si>
  <si>
    <t xml:space="preserve">CATGCAGCGCTAATGAT</t>
  </si>
  <si>
    <t xml:space="preserve">Z0105</t>
  </si>
  <si>
    <t xml:space="preserve">CATGGCGCAGTGCTGAT</t>
  </si>
  <si>
    <t xml:space="preserve">Z0106</t>
  </si>
  <si>
    <t xml:space="preserve">CTGAGAATGTGTGAT</t>
  </si>
  <si>
    <t xml:space="preserve">Z0107</t>
  </si>
  <si>
    <t xml:space="preserve">CATGCATGGTACGAT</t>
  </si>
  <si>
    <t xml:space="preserve">Z0108</t>
  </si>
  <si>
    <t xml:space="preserve">CATGCATGCGAGGAGAT</t>
  </si>
  <si>
    <t xml:space="preserve">Z0109</t>
  </si>
  <si>
    <t xml:space="preserve">CAATCTGCATACGAT</t>
  </si>
  <si>
    <t xml:space="preserve">Z0110</t>
  </si>
  <si>
    <t xml:space="preserve">CAGCATGAGCGCCAGAT</t>
  </si>
  <si>
    <t xml:space="preserve">Z0111</t>
  </si>
  <si>
    <t xml:space="preserve">CTTATCTGATCTGAT</t>
  </si>
  <si>
    <t xml:space="preserve">Z0112</t>
  </si>
  <si>
    <t xml:space="preserve">CATCCAGCGCATGTGAT</t>
  </si>
  <si>
    <t xml:space="preserve">Z0113</t>
  </si>
  <si>
    <t xml:space="preserve">CAGTTCATCTGTGAT</t>
  </si>
  <si>
    <t xml:space="preserve">Z0114</t>
  </si>
  <si>
    <t xml:space="preserve">CAACATACATCAGAT</t>
  </si>
  <si>
    <t xml:space="preserve">Z0115</t>
  </si>
  <si>
    <t xml:space="preserve">CGGCTAGATGCAGAT</t>
  </si>
  <si>
    <t xml:space="preserve">Z0116</t>
  </si>
  <si>
    <t xml:space="preserve">CAGTTATGTGCTGAT</t>
  </si>
  <si>
    <t xml:space="preserve">Z0117</t>
  </si>
  <si>
    <t xml:space="preserve">CTGCCGAGCAGCATGAT</t>
  </si>
  <si>
    <t xml:space="preserve">Z0118</t>
  </si>
  <si>
    <t xml:space="preserve">CTGCCTCAGATCATGAT</t>
  </si>
  <si>
    <t xml:space="preserve">Z0119</t>
  </si>
  <si>
    <t xml:space="preserve">CTGATCAGTGGCGAT</t>
  </si>
  <si>
    <t xml:space="preserve">Z0120</t>
  </si>
  <si>
    <t xml:space="preserve">CTGCTGCGGAGCATGAT</t>
  </si>
  <si>
    <t xml:space="preserve">Z0121</t>
  </si>
  <si>
    <t xml:space="preserve">CAGTGCTGTGGCATGAT</t>
  </si>
  <si>
    <t xml:space="preserve">Z0122</t>
  </si>
  <si>
    <t xml:space="preserve">CACATATGGCATATGAT</t>
  </si>
  <si>
    <t xml:space="preserve">Z0123</t>
  </si>
  <si>
    <t xml:space="preserve">CAGATCGCCACAGAT</t>
  </si>
  <si>
    <t xml:space="preserve">Z0124</t>
  </si>
  <si>
    <t xml:space="preserve">CACGGCTCAGATGAT</t>
  </si>
  <si>
    <t xml:space="preserve">Z0125</t>
  </si>
  <si>
    <t xml:space="preserve">CTTGATGATAGTGAT</t>
  </si>
  <si>
    <t xml:space="preserve">Z0126</t>
  </si>
  <si>
    <t xml:space="preserve">CAACTGCACATAGAT</t>
  </si>
  <si>
    <t xml:space="preserve">Z0127</t>
  </si>
  <si>
    <t xml:space="preserve">CGCATACATCCTGAT</t>
  </si>
  <si>
    <t xml:space="preserve">Z0128</t>
  </si>
  <si>
    <t xml:space="preserve">CATCTCTGGCTGCAGAT</t>
  </si>
  <si>
    <t xml:space="preserve">Z0129</t>
  </si>
  <si>
    <t xml:space="preserve">CATCTGGTGCATGTGAT</t>
  </si>
  <si>
    <t xml:space="preserve">Z0130</t>
  </si>
  <si>
    <t xml:space="preserve">CAGCAGCTTCGCGAT</t>
  </si>
  <si>
    <t xml:space="preserve">Z0131</t>
  </si>
  <si>
    <t xml:space="preserve">CGCATATGGCAGCAGAT</t>
  </si>
  <si>
    <t xml:space="preserve">Z0132</t>
  </si>
  <si>
    <t xml:space="preserve">CACAGCACCGCTGAT</t>
  </si>
  <si>
    <t xml:space="preserve">Z0133</t>
  </si>
  <si>
    <t xml:space="preserve">CTAGCATCTGGTGAT</t>
  </si>
  <si>
    <t xml:space="preserve">Z0134</t>
  </si>
  <si>
    <t xml:space="preserve">CTTCAGCATACAGAT</t>
  </si>
  <si>
    <t xml:space="preserve">Z0135</t>
  </si>
  <si>
    <t xml:space="preserve">CATGCAGATGGCGAGAT</t>
  </si>
  <si>
    <t xml:space="preserve">Z0136</t>
  </si>
  <si>
    <t xml:space="preserve">CAGATCTATCCAGAT</t>
  </si>
  <si>
    <t xml:space="preserve">Z0137</t>
  </si>
  <si>
    <t xml:space="preserve">CTTCATGCATCTCAGAT</t>
  </si>
  <si>
    <t xml:space="preserve">Z0138</t>
  </si>
  <si>
    <t xml:space="preserve">CATGCAAGTGTGATGAT</t>
  </si>
  <si>
    <t xml:space="preserve">Z0139</t>
  </si>
  <si>
    <t xml:space="preserve">CTGTTCGCTGCAGAT</t>
  </si>
  <si>
    <t xml:space="preserve">Z0140</t>
  </si>
  <si>
    <t xml:space="preserve">CTCAGATCCTGCATGAT</t>
  </si>
  <si>
    <t xml:space="preserve">Z0141</t>
  </si>
  <si>
    <t xml:space="preserve">CACACAGATAATGAT</t>
  </si>
  <si>
    <t xml:space="preserve">Z0142</t>
  </si>
  <si>
    <t xml:space="preserve">CGATGCTCTGGCGAT</t>
  </si>
  <si>
    <t xml:space="preserve">Z0143</t>
  </si>
  <si>
    <t xml:space="preserve">CAGATCCATCATCTGAT</t>
  </si>
  <si>
    <t xml:space="preserve">Z0144</t>
  </si>
  <si>
    <t xml:space="preserve">CTGCACCATCATATGAT</t>
  </si>
  <si>
    <t xml:space="preserve">Z0145</t>
  </si>
  <si>
    <t xml:space="preserve">CATGCTATAGCAATGAT</t>
  </si>
  <si>
    <t xml:space="preserve">Z0146</t>
  </si>
  <si>
    <t xml:space="preserve">CATCTGCACATGGCGAT</t>
  </si>
  <si>
    <t xml:space="preserve">Z0147</t>
  </si>
  <si>
    <t xml:space="preserve">CGCTGCATGAAGATGAT</t>
  </si>
  <si>
    <t xml:space="preserve">Z0148</t>
  </si>
  <si>
    <t xml:space="preserve">CTATTCAGATGCATGAT</t>
  </si>
  <si>
    <t xml:space="preserve">Z0149</t>
  </si>
  <si>
    <t xml:space="preserve">CTCGCGCAATGCGAT</t>
  </si>
  <si>
    <t xml:space="preserve">Z0150</t>
  </si>
  <si>
    <t xml:space="preserve">CGCGCAGATGGCATGAT</t>
  </si>
  <si>
    <t xml:space="preserve">Z0151</t>
  </si>
  <si>
    <t xml:space="preserve">CAGTGAATCATCGAT</t>
  </si>
  <si>
    <t xml:space="preserve">Z0152</t>
  </si>
  <si>
    <t xml:space="preserve">CATGCAACACTAGAT</t>
  </si>
  <si>
    <t xml:space="preserve">Z0153</t>
  </si>
  <si>
    <t xml:space="preserve">CTATTATGATATGAT</t>
  </si>
  <si>
    <t xml:space="preserve">Z0154</t>
  </si>
  <si>
    <t xml:space="preserve">CTCAGAAGCATCGAT</t>
  </si>
  <si>
    <t xml:space="preserve">Z0155</t>
  </si>
  <si>
    <t xml:space="preserve">CTTCATATCTGAGAT</t>
  </si>
  <si>
    <t xml:space="preserve">Z0156</t>
  </si>
  <si>
    <t xml:space="preserve">CAATAGCTATGAGAT</t>
  </si>
  <si>
    <t xml:space="preserve">Z0157</t>
  </si>
  <si>
    <t xml:space="preserve">CATGGATAGCTGCAGAT</t>
  </si>
  <si>
    <t xml:space="preserve">Z0158</t>
  </si>
  <si>
    <t xml:space="preserve">CATAATATCTGCGAT</t>
  </si>
  <si>
    <t xml:space="preserve">Z0159</t>
  </si>
  <si>
    <t xml:space="preserve">CGCATGCATCCTGAGAT</t>
  </si>
  <si>
    <t xml:space="preserve">Z0160</t>
  </si>
  <si>
    <t xml:space="preserve">CAGCACAGAGGAGAT</t>
  </si>
  <si>
    <t xml:space="preserve">Z0161</t>
  </si>
  <si>
    <t xml:space="preserve">CAACTGCGCTCTGAT</t>
  </si>
  <si>
    <t xml:space="preserve">Z0162</t>
  </si>
  <si>
    <t xml:space="preserve">CACAAGATGACAGAT</t>
  </si>
  <si>
    <t xml:space="preserve">Z0163</t>
  </si>
  <si>
    <t xml:space="preserve">CAGATGACATTAGAT</t>
  </si>
  <si>
    <t xml:space="preserve">Z0164</t>
  </si>
  <si>
    <t xml:space="preserve">CATGGCTCACATATGAT</t>
  </si>
  <si>
    <t xml:space="preserve">Z0165</t>
  </si>
  <si>
    <t xml:space="preserve">CAAGAGATGCATCTGAT</t>
  </si>
  <si>
    <t xml:space="preserve">Z0166</t>
  </si>
  <si>
    <t xml:space="preserve">CATGACCGCTGTGAT</t>
  </si>
  <si>
    <t xml:space="preserve">Z0167</t>
  </si>
  <si>
    <t xml:space="preserve">CGCATCTGGCGCGAT</t>
  </si>
  <si>
    <t xml:space="preserve">Z0168</t>
  </si>
  <si>
    <t xml:space="preserve">CTTAGCTGTGATGAT</t>
  </si>
  <si>
    <t xml:space="preserve">Z0169</t>
  </si>
  <si>
    <t xml:space="preserve">CTCGCAATAGATGAT</t>
  </si>
  <si>
    <t xml:space="preserve">Z0170</t>
  </si>
  <si>
    <t xml:space="preserve">CACTCTCTCAATGAT</t>
  </si>
  <si>
    <t xml:space="preserve">Z0171</t>
  </si>
  <si>
    <t xml:space="preserve">CACTGCCTGATGATGAT</t>
  </si>
  <si>
    <t xml:space="preserve">Z0172</t>
  </si>
  <si>
    <t xml:space="preserve">CTCTATTCATATGAT</t>
  </si>
  <si>
    <t xml:space="preserve">Z0173</t>
  </si>
  <si>
    <t xml:space="preserve">CTTGAGCGCACTGAT</t>
  </si>
  <si>
    <t xml:space="preserve">Z0174</t>
  </si>
  <si>
    <t xml:space="preserve">CGCTGATCAGGCGAT</t>
  </si>
  <si>
    <t xml:space="preserve">Z0175</t>
  </si>
  <si>
    <t xml:space="preserve">CGCTCTGTTGATGAT</t>
  </si>
  <si>
    <t xml:space="preserve">Z0176</t>
  </si>
  <si>
    <t xml:space="preserve">CTCAACATATCTGAT</t>
  </si>
  <si>
    <t xml:space="preserve">Z0177</t>
  </si>
  <si>
    <t xml:space="preserve">CATGCGGCGCAGCAGAT</t>
  </si>
  <si>
    <t xml:space="preserve">Z0178</t>
  </si>
  <si>
    <t xml:space="preserve">CTTGCTGTGCGCGAT</t>
  </si>
  <si>
    <t xml:space="preserve">Z0179</t>
  </si>
  <si>
    <t xml:space="preserve">CATAGCGTTCATGAT</t>
  </si>
  <si>
    <t xml:space="preserve">Z0180</t>
  </si>
  <si>
    <t xml:space="preserve">CGCACATAGCCTGAT</t>
  </si>
  <si>
    <t xml:space="preserve">Z0181</t>
  </si>
  <si>
    <t xml:space="preserve">CTTCTCATGTCAGAT</t>
  </si>
  <si>
    <t xml:space="preserve">Z0182</t>
  </si>
  <si>
    <t xml:space="preserve">CAGCCATCTGCTGAGAT</t>
  </si>
  <si>
    <t xml:space="preserve">Z0183</t>
  </si>
  <si>
    <t xml:space="preserve">CACTCAGCGCCAGAT</t>
  </si>
  <si>
    <t xml:space="preserve">Z0184</t>
  </si>
  <si>
    <t xml:space="preserve">CAACATCTGATAGAT</t>
  </si>
  <si>
    <t xml:space="preserve">Z0185</t>
  </si>
  <si>
    <t xml:space="preserve">CTGCTCCGCATCGAT</t>
  </si>
  <si>
    <t xml:space="preserve">Z0186</t>
  </si>
  <si>
    <t xml:space="preserve">CTATCGCTTGATGAT</t>
  </si>
  <si>
    <t xml:space="preserve">Z0187</t>
  </si>
  <si>
    <t xml:space="preserve">CTCTTCTCAGCAGAT</t>
  </si>
  <si>
    <t xml:space="preserve">Z0188</t>
  </si>
  <si>
    <t xml:space="preserve">CATGGTGTGCACGAT</t>
  </si>
  <si>
    <t xml:space="preserve">Z0189</t>
  </si>
  <si>
    <t xml:space="preserve">CATATCATCTTAGAT</t>
  </si>
  <si>
    <t xml:space="preserve">Z0190</t>
  </si>
  <si>
    <t xml:space="preserve">CGGTGCTGCTATGAT</t>
  </si>
  <si>
    <t xml:space="preserve">Z0191</t>
  </si>
  <si>
    <t xml:space="preserve">CTGTCAGCCTATGAT</t>
  </si>
  <si>
    <t xml:space="preserve">Z0192</t>
  </si>
  <si>
    <t xml:space="preserve">CATGATCACACAATGAT</t>
  </si>
  <si>
    <t xml:space="preserve">Z0193</t>
  </si>
  <si>
    <t xml:space="preserve">CTGCACATTGTAGAT</t>
  </si>
  <si>
    <t xml:space="preserve">Z0194</t>
  </si>
  <si>
    <t xml:space="preserve">CTCATGGTATATGAT</t>
  </si>
  <si>
    <t xml:space="preserve">Z0195</t>
  </si>
  <si>
    <t xml:space="preserve">CTGCATGCTGGCGTGAT</t>
  </si>
  <si>
    <t xml:space="preserve">Z0196</t>
  </si>
  <si>
    <t xml:space="preserve">CGGCACGATGCTGAT</t>
  </si>
  <si>
    <t xml:space="preserve">Z0197</t>
  </si>
  <si>
    <t xml:space="preserve">CTCTTCATGAGCATGAT</t>
  </si>
  <si>
    <t xml:space="preserve">Z0198</t>
  </si>
  <si>
    <t xml:space="preserve">CTCATGGAGCATATGAT</t>
  </si>
  <si>
    <t xml:space="preserve">Z0199</t>
  </si>
  <si>
    <t xml:space="preserve">CATACTGCCTATGAT</t>
  </si>
  <si>
    <t xml:space="preserve">Z0200</t>
  </si>
  <si>
    <t xml:space="preserve">CAATGCATCTATATGAT</t>
  </si>
  <si>
    <t xml:space="preserve">Z0201</t>
  </si>
  <si>
    <t xml:space="preserve">CGAGCACAATGCATGAT</t>
  </si>
  <si>
    <t xml:space="preserve">Z0202</t>
  </si>
  <si>
    <t xml:space="preserve">CGGCAGCAGACTGAT</t>
  </si>
  <si>
    <t xml:space="preserve">Z0203</t>
  </si>
  <si>
    <t xml:space="preserve">CAACATGCACATCTGAT</t>
  </si>
  <si>
    <t xml:space="preserve">Z0204</t>
  </si>
  <si>
    <t xml:space="preserve">CGTGCATGGCATCTGAT</t>
  </si>
  <si>
    <t xml:space="preserve">Z0205</t>
  </si>
  <si>
    <t xml:space="preserve">CTACAGCAATGTGAT</t>
  </si>
  <si>
    <t xml:space="preserve">Z0206</t>
  </si>
  <si>
    <t xml:space="preserve">CATCAGTCCTGCGAT</t>
  </si>
  <si>
    <t xml:space="preserve">Z0207</t>
  </si>
  <si>
    <t xml:space="preserve">CAAGCGACATGCGAT</t>
  </si>
  <si>
    <t xml:space="preserve">Z0208</t>
  </si>
  <si>
    <t xml:space="preserve">CATGCTCAATATCTGAT</t>
  </si>
  <si>
    <t xml:space="preserve">Z0209</t>
  </si>
  <si>
    <t xml:space="preserve">CGACTCATGCCTGAT</t>
  </si>
  <si>
    <t xml:space="preserve">Z0210</t>
  </si>
  <si>
    <t xml:space="preserve">CATGGCATACTGCTGAT</t>
  </si>
  <si>
    <t xml:space="preserve">Z0211</t>
  </si>
  <si>
    <t xml:space="preserve">CAATCGCATCGTGAT</t>
  </si>
  <si>
    <t xml:space="preserve">Z0212</t>
  </si>
  <si>
    <t xml:space="preserve">CGGCACTGCAGTGAT</t>
  </si>
  <si>
    <t xml:space="preserve">Z0213</t>
  </si>
  <si>
    <t xml:space="preserve">CGGATCGCATGCGAT</t>
  </si>
  <si>
    <t xml:space="preserve">Z0214</t>
  </si>
  <si>
    <t xml:space="preserve">CTATTGCTCTGCATGAT</t>
  </si>
  <si>
    <t xml:space="preserve">Z0215</t>
  </si>
  <si>
    <t xml:space="preserve">CATCTGCGGCACATGAT</t>
  </si>
  <si>
    <t xml:space="preserve">Z0216</t>
  </si>
  <si>
    <t xml:space="preserve">CATCGATGCAGAATGAT</t>
  </si>
  <si>
    <t xml:space="preserve">Z0217</t>
  </si>
  <si>
    <t xml:space="preserve">CACATGACCAGCGAT</t>
  </si>
  <si>
    <t xml:space="preserve">Z0218</t>
  </si>
  <si>
    <t xml:space="preserve">CAATGCTGTAGTGAT</t>
  </si>
  <si>
    <t xml:space="preserve">Z0219</t>
  </si>
  <si>
    <t xml:space="preserve">CGACATGCACCTGAT</t>
  </si>
  <si>
    <t xml:space="preserve">Z0220</t>
  </si>
  <si>
    <t xml:space="preserve">CGCAAGCATGTCGAT</t>
  </si>
  <si>
    <t xml:space="preserve">Z0221</t>
  </si>
  <si>
    <t xml:space="preserve">CATGCTCGGCTGCTGAT</t>
  </si>
  <si>
    <t xml:space="preserve">Z0222</t>
  </si>
  <si>
    <t xml:space="preserve">CAAGTCTGCTCAGAT</t>
  </si>
  <si>
    <t xml:space="preserve">Z0223</t>
  </si>
  <si>
    <t xml:space="preserve">CATCATTGATCATCGAT</t>
  </si>
  <si>
    <t xml:space="preserve">Z0224</t>
  </si>
  <si>
    <t xml:space="preserve">CACTCACAATGCATGAT</t>
  </si>
  <si>
    <t xml:space="preserve">Z0225</t>
  </si>
  <si>
    <t xml:space="preserve">CATGTGGCTATCATGAT</t>
  </si>
  <si>
    <t xml:space="preserve">Z0226</t>
  </si>
  <si>
    <t xml:space="preserve">CATGTATGCGCAATGAT</t>
  </si>
  <si>
    <t xml:space="preserve">Z0227</t>
  </si>
  <si>
    <t xml:space="preserve">CTTGCGCTCTCAGAT</t>
  </si>
  <si>
    <t xml:space="preserve">Z0228</t>
  </si>
  <si>
    <t xml:space="preserve">CGCGCACAATATGAT</t>
  </si>
  <si>
    <t xml:space="preserve">Z0229</t>
  </si>
  <si>
    <t xml:space="preserve">CAGCGCACCAGCATGAT</t>
  </si>
  <si>
    <t xml:space="preserve">Z0230</t>
  </si>
  <si>
    <t xml:space="preserve">CTGCTATCTGGTGAT</t>
  </si>
  <si>
    <t xml:space="preserve">Z0231</t>
  </si>
  <si>
    <t xml:space="preserve">CGATATCATGGTGAT</t>
  </si>
  <si>
    <t xml:space="preserve">Z0232</t>
  </si>
  <si>
    <t xml:space="preserve">CATGCATGTGGATAGAT</t>
  </si>
  <si>
    <t xml:space="preserve">Z0233</t>
  </si>
  <si>
    <t xml:space="preserve">CTCTGCTCCTGCGAT</t>
  </si>
  <si>
    <t xml:space="preserve">Z0234</t>
  </si>
  <si>
    <t xml:space="preserve">CATCGCACCAGAGAT</t>
  </si>
  <si>
    <t xml:space="preserve">Z0235</t>
  </si>
  <si>
    <t xml:space="preserve">CAATCTGATATGATGAT</t>
  </si>
  <si>
    <t xml:space="preserve">Z0236</t>
  </si>
  <si>
    <t xml:space="preserve">CATACTGCAGGAGAT</t>
  </si>
  <si>
    <t xml:space="preserve">Z0237</t>
  </si>
  <si>
    <t xml:space="preserve">CTTCATGACAGAGAT</t>
  </si>
  <si>
    <t xml:space="preserve">Z0238</t>
  </si>
  <si>
    <t xml:space="preserve">CTACATCATGGCATGAT</t>
  </si>
  <si>
    <t xml:space="preserve">Z0239</t>
  </si>
  <si>
    <t xml:space="preserve">CGCTGTTGCATGATGAT</t>
  </si>
  <si>
    <t xml:space="preserve">Z0240</t>
  </si>
  <si>
    <t xml:space="preserve">CTTCACTCATGAGAT</t>
  </si>
  <si>
    <t xml:space="preserve">Z0241</t>
  </si>
  <si>
    <t xml:space="preserve">CATGCGCTTACAGAT</t>
  </si>
  <si>
    <t xml:space="preserve">Z0242</t>
  </si>
  <si>
    <t xml:space="preserve">CAGCATCTCTGCCTGAT</t>
  </si>
  <si>
    <t xml:space="preserve">Z0243</t>
  </si>
  <si>
    <t xml:space="preserve">CACTGCCATATCATGAT</t>
  </si>
  <si>
    <t xml:space="preserve">Z0244</t>
  </si>
  <si>
    <t xml:space="preserve">CTCAGCTGCGGCGAT</t>
  </si>
  <si>
    <t xml:space="preserve">Z0245</t>
  </si>
  <si>
    <t xml:space="preserve">CATGCAGAGCGCCTGAT</t>
  </si>
  <si>
    <t xml:space="preserve">Z0246</t>
  </si>
  <si>
    <t xml:space="preserve">CAATGCTATCGAGAT</t>
  </si>
  <si>
    <t xml:space="preserve">Z0247</t>
  </si>
  <si>
    <t xml:space="preserve">CAGATAAGAGCAGAT</t>
  </si>
  <si>
    <t xml:space="preserve">Z0248</t>
  </si>
  <si>
    <t xml:space="preserve">CAGAGCCACTCAGAT</t>
  </si>
  <si>
    <t xml:space="preserve">Z0249</t>
  </si>
  <si>
    <t xml:space="preserve">CATGTAATATCAGAT</t>
  </si>
  <si>
    <t xml:space="preserve">Z0250</t>
  </si>
  <si>
    <t xml:space="preserve">CAGCGCATGATCCTGAT</t>
  </si>
  <si>
    <t xml:space="preserve">Z0251</t>
  </si>
  <si>
    <t xml:space="preserve">CATAGATAGCCAGAT</t>
  </si>
  <si>
    <t xml:space="preserve">Z0252</t>
  </si>
  <si>
    <t xml:space="preserve">CACTAGCATGGCGAT</t>
  </si>
  <si>
    <t xml:space="preserve">Z0253</t>
  </si>
  <si>
    <t xml:space="preserve">CAATAGCATCGAGAT</t>
  </si>
  <si>
    <t xml:space="preserve">Z0254</t>
  </si>
  <si>
    <t xml:space="preserve">CTTCTGTGAGATGAT</t>
  </si>
  <si>
    <t xml:space="preserve">Z0255</t>
  </si>
  <si>
    <t xml:space="preserve">CTCTGCTCATTCATGAT</t>
  </si>
  <si>
    <t xml:space="preserve">Z0256</t>
  </si>
  <si>
    <t xml:space="preserve">CACAATAGCGATGAT</t>
  </si>
  <si>
    <t xml:space="preserve">Z0257</t>
  </si>
  <si>
    <t xml:space="preserve">CTGTAGGCATCTGAT</t>
  </si>
  <si>
    <t xml:space="preserve">Z0258</t>
  </si>
  <si>
    <t xml:space="preserve">CAACAGCTCTCTGAT</t>
  </si>
  <si>
    <t xml:space="preserve">Z0259</t>
  </si>
  <si>
    <t xml:space="preserve">CAGACACAATATGAT</t>
  </si>
  <si>
    <t xml:space="preserve">Z0260</t>
  </si>
  <si>
    <t xml:space="preserve">CTAGCAAGATCAGAT</t>
  </si>
  <si>
    <t xml:space="preserve">Z0261</t>
  </si>
  <si>
    <t xml:space="preserve">CTTGAGACATGAGAT</t>
  </si>
  <si>
    <t xml:space="preserve">Z0262</t>
  </si>
  <si>
    <t xml:space="preserve">CTCAGATGTCCAGAT</t>
  </si>
  <si>
    <t xml:space="preserve">Z0263</t>
  </si>
  <si>
    <t xml:space="preserve">CAGCCGCATGCACAGAT</t>
  </si>
  <si>
    <t xml:space="preserve">Z0264</t>
  </si>
  <si>
    <t xml:space="preserve">CTCGCATGTGGAGAT</t>
  </si>
  <si>
    <t xml:space="preserve">Z0265</t>
  </si>
  <si>
    <t xml:space="preserve">CACATGCATGTCCTGAT</t>
  </si>
  <si>
    <t xml:space="preserve">Z0266</t>
  </si>
  <si>
    <t xml:space="preserve">CGCGGCTGATATGAT</t>
  </si>
  <si>
    <t xml:space="preserve">Z0267</t>
  </si>
  <si>
    <t xml:space="preserve">CTGTGACAAGCTGAT</t>
  </si>
  <si>
    <t xml:space="preserve">Z0268</t>
  </si>
  <si>
    <t xml:space="preserve">CATGCGAGCATGGTGAT</t>
  </si>
  <si>
    <t xml:space="preserve">Z0269</t>
  </si>
  <si>
    <t xml:space="preserve">CAATACATGATCGAT</t>
  </si>
  <si>
    <t xml:space="preserve">Z0270</t>
  </si>
  <si>
    <t xml:space="preserve">CATGGACATATGCAGAT</t>
  </si>
  <si>
    <t xml:space="preserve">Z0271</t>
  </si>
  <si>
    <t xml:space="preserve">CAGCGCGCTGGCATGAT</t>
  </si>
  <si>
    <t xml:space="preserve">Z0272</t>
  </si>
  <si>
    <t xml:space="preserve">CATGCGTCACCTGAT</t>
  </si>
  <si>
    <t xml:space="preserve">Z0273</t>
  </si>
  <si>
    <t xml:space="preserve">CTGCATGTTGCTGAGAT</t>
  </si>
  <si>
    <t xml:space="preserve">Z0274</t>
  </si>
  <si>
    <t xml:space="preserve">CATCCTGCGATAGAT</t>
  </si>
  <si>
    <t xml:space="preserve">Z0275</t>
  </si>
  <si>
    <t xml:space="preserve">CAATATCTGAGTGAT</t>
  </si>
  <si>
    <t xml:space="preserve">Z0276</t>
  </si>
  <si>
    <t xml:space="preserve">CTGTGCAGGAGTGAT</t>
  </si>
  <si>
    <t xml:space="preserve">Z0277</t>
  </si>
  <si>
    <t xml:space="preserve">CGATGTGCCATAGAT</t>
  </si>
  <si>
    <t xml:space="preserve">Z0278</t>
  </si>
  <si>
    <t xml:space="preserve">CTCACATGGAGAGAT</t>
  </si>
  <si>
    <t xml:space="preserve">Z0279</t>
  </si>
  <si>
    <t xml:space="preserve">CAGAACATGTCAGAT</t>
  </si>
  <si>
    <t xml:space="preserve">Z0280</t>
  </si>
  <si>
    <t xml:space="preserve">CGCACAATGCGAGAT</t>
  </si>
  <si>
    <t xml:space="preserve">Z0281</t>
  </si>
  <si>
    <t xml:space="preserve">CATGCACAGAATGTGAT</t>
  </si>
  <si>
    <t xml:space="preserve">Z0282</t>
  </si>
  <si>
    <t xml:space="preserve">CGTATGGCAGCTGAT</t>
  </si>
  <si>
    <t xml:space="preserve">Z0283</t>
  </si>
  <si>
    <t xml:space="preserve">CTGATGGTGCTCATGAT</t>
  </si>
  <si>
    <t xml:space="preserve">Z0284</t>
  </si>
  <si>
    <t xml:space="preserve">CTCAGCCATGCGATGAT</t>
  </si>
  <si>
    <t xml:space="preserve">Z0285</t>
  </si>
  <si>
    <t xml:space="preserve">CATGCACAAGATCAGAT</t>
  </si>
  <si>
    <t xml:space="preserve">Z0286</t>
  </si>
  <si>
    <t xml:space="preserve">CTCTGTTGCTCAGAT</t>
  </si>
  <si>
    <t xml:space="preserve">Z0287</t>
  </si>
  <si>
    <t xml:space="preserve">CACAGCGCTCCAGAT</t>
  </si>
  <si>
    <t xml:space="preserve">Z0288</t>
  </si>
  <si>
    <t xml:space="preserve">CACAGAAGATGCGAT</t>
  </si>
  <si>
    <t xml:space="preserve">Z0289</t>
  </si>
  <si>
    <t xml:space="preserve">CATCATGCTCCGCTGAT</t>
  </si>
  <si>
    <t xml:space="preserve">Z0290</t>
  </si>
  <si>
    <t xml:space="preserve">CTTGCTATGAGCGAT</t>
  </si>
  <si>
    <t xml:space="preserve">Z0291</t>
  </si>
  <si>
    <t xml:space="preserve">CATGTATCAGGTGAT</t>
  </si>
  <si>
    <t xml:space="preserve">Z0292</t>
  </si>
  <si>
    <t xml:space="preserve">CATGCGCAATGTATGAT</t>
  </si>
  <si>
    <t xml:space="preserve">Z0293</t>
  </si>
  <si>
    <t xml:space="preserve">CATGTGAGCGGTGAT</t>
  </si>
  <si>
    <t xml:space="preserve">Z0294</t>
  </si>
  <si>
    <t xml:space="preserve">CGCACAAGTCATGAT</t>
  </si>
  <si>
    <t xml:space="preserve">Z0295</t>
  </si>
  <si>
    <t xml:space="preserve">CATGCAATACATGAGAT</t>
  </si>
  <si>
    <t xml:space="preserve">Z0296</t>
  </si>
  <si>
    <t xml:space="preserve">CATCTATCAGGCGAT</t>
  </si>
  <si>
    <t xml:space="preserve">Z0297</t>
  </si>
  <si>
    <t xml:space="preserve">CGAGCATCAGGTGAT</t>
  </si>
  <si>
    <t xml:space="preserve">Z0298</t>
  </si>
  <si>
    <t xml:space="preserve">CAAGACTGATATGAT</t>
  </si>
  <si>
    <t xml:space="preserve">Z0299</t>
  </si>
  <si>
    <t xml:space="preserve">CATGCGGAGTGAGAT</t>
  </si>
  <si>
    <t xml:space="preserve">Z0300</t>
  </si>
  <si>
    <t xml:space="preserve">CAGATATAGCCTGAT</t>
  </si>
  <si>
    <t xml:space="preserve">Z0301</t>
  </si>
  <si>
    <t xml:space="preserve">CAAGAGAGAGCTGAT</t>
  </si>
  <si>
    <t xml:space="preserve">Z0302</t>
  </si>
  <si>
    <t xml:space="preserve">CTATCAAGCTCAGAT</t>
  </si>
  <si>
    <t xml:space="preserve">Z0303</t>
  </si>
  <si>
    <t xml:space="preserve">CAGAATACATGCGAT</t>
  </si>
  <si>
    <t xml:space="preserve">Z0304</t>
  </si>
  <si>
    <t xml:space="preserve">CTCAAGCGCACAGAT</t>
  </si>
  <si>
    <t xml:space="preserve">Z0305</t>
  </si>
  <si>
    <t xml:space="preserve">CACACACAACATGAT</t>
  </si>
  <si>
    <t xml:space="preserve">Z0306</t>
  </si>
  <si>
    <t xml:space="preserve">CTTACATGTCATGAT</t>
  </si>
  <si>
    <t xml:space="preserve">Z0307</t>
  </si>
  <si>
    <t xml:space="preserve">CAGAAGAGATATGAT</t>
  </si>
  <si>
    <t xml:space="preserve">Z0308</t>
  </si>
  <si>
    <t xml:space="preserve">CAGAGCGCCGCAGAT</t>
  </si>
  <si>
    <t xml:space="preserve">Z0309</t>
  </si>
  <si>
    <t xml:space="preserve">CGCTCAACATGCGAT</t>
  </si>
  <si>
    <t xml:space="preserve">Z0310</t>
  </si>
  <si>
    <t xml:space="preserve">CATGACAGTAATGAT</t>
  </si>
  <si>
    <t xml:space="preserve">Z0311</t>
  </si>
  <si>
    <t xml:space="preserve">CATGCAATCACATCGAT</t>
  </si>
  <si>
    <t xml:space="preserve">Z0312</t>
  </si>
  <si>
    <t xml:space="preserve">CAGTTGATACATGAT</t>
  </si>
  <si>
    <t xml:space="preserve">Z0313</t>
  </si>
  <si>
    <t xml:space="preserve">CTGTGACATAATGAT</t>
  </si>
  <si>
    <t xml:space="preserve">Z0314</t>
  </si>
  <si>
    <t xml:space="preserve">CATAGTGCTGCAATGAT</t>
  </si>
  <si>
    <t xml:space="preserve">Z0315</t>
  </si>
  <si>
    <t xml:space="preserve">CACGAGCGCAATGAT</t>
  </si>
  <si>
    <t xml:space="preserve">Z0316</t>
  </si>
  <si>
    <t xml:space="preserve">CACAATGCAGATGTGAT</t>
  </si>
  <si>
    <t xml:space="preserve">Z0317</t>
  </si>
  <si>
    <t xml:space="preserve">CTGCGCAGCATCCTGAT</t>
  </si>
  <si>
    <t xml:space="preserve">Z0318</t>
  </si>
  <si>
    <t xml:space="preserve">CAAGACATCAGAGAT</t>
  </si>
  <si>
    <t xml:space="preserve">Z0319</t>
  </si>
  <si>
    <t xml:space="preserve">CATGCTTGTGTCATGAT</t>
  </si>
  <si>
    <t xml:space="preserve">Z0320</t>
  </si>
  <si>
    <t xml:space="preserve">CAGTGCGACAATGAT</t>
  </si>
  <si>
    <t xml:space="preserve">Z0321</t>
  </si>
  <si>
    <t xml:space="preserve">CATATGGTGACAGAT</t>
  </si>
  <si>
    <t xml:space="preserve">Z0322</t>
  </si>
  <si>
    <t xml:space="preserve">CAATGATAGTGTGAT</t>
  </si>
  <si>
    <t xml:space="preserve">Z0323</t>
  </si>
  <si>
    <t xml:space="preserve">CATAGCAGCAACATGAT</t>
  </si>
  <si>
    <t xml:space="preserve">Z0324</t>
  </si>
  <si>
    <t xml:space="preserve">CATGACACCAGTGAT</t>
  </si>
  <si>
    <t xml:space="preserve">Z0325</t>
  </si>
  <si>
    <t xml:space="preserve">CAATCTCAGCAGATGAT</t>
  </si>
  <si>
    <t xml:space="preserve">Z0326</t>
  </si>
  <si>
    <t xml:space="preserve">CTCGATGAGCCTGAT</t>
  </si>
  <si>
    <t xml:space="preserve">Z0327</t>
  </si>
  <si>
    <t xml:space="preserve">CAACACTCTGCAGAT</t>
  </si>
  <si>
    <t xml:space="preserve">Z0328</t>
  </si>
  <si>
    <t xml:space="preserve">CTTAGCATCACTGAT</t>
  </si>
  <si>
    <t xml:space="preserve">Z0329</t>
  </si>
  <si>
    <t xml:space="preserve">CTGTTGTGATCAGAT</t>
  </si>
  <si>
    <t xml:space="preserve">Z0330</t>
  </si>
  <si>
    <t xml:space="preserve">CAAGTGTGCGCAGAT</t>
  </si>
  <si>
    <t xml:space="preserve">Z0331</t>
  </si>
  <si>
    <t xml:space="preserve">CATGAGCATGGTCTGAT</t>
  </si>
  <si>
    <t xml:space="preserve">Z0332</t>
  </si>
  <si>
    <t xml:space="preserve">CACTGATGCATGGAGAT</t>
  </si>
  <si>
    <t xml:space="preserve">Z0333</t>
  </si>
  <si>
    <t xml:space="preserve">CTTATATCTCATGAT</t>
  </si>
  <si>
    <t xml:space="preserve">Z0334</t>
  </si>
  <si>
    <t xml:space="preserve">CATCAGCTGAAGATGAT</t>
  </si>
  <si>
    <t xml:space="preserve">Z0335</t>
  </si>
  <si>
    <t xml:space="preserve">CACACATCCAGCGAT</t>
  </si>
  <si>
    <t xml:space="preserve">Z0336</t>
  </si>
  <si>
    <t xml:space="preserve">CAACATGTGATCGAT</t>
  </si>
  <si>
    <t xml:space="preserve">Z0337</t>
  </si>
  <si>
    <t xml:space="preserve">CGGCTATGCATCGAT</t>
  </si>
  <si>
    <t xml:space="preserve">Z0338</t>
  </si>
  <si>
    <t xml:space="preserve">CAAGTGAGCTGCGAT</t>
  </si>
  <si>
    <t xml:space="preserve">Z0339</t>
  </si>
  <si>
    <t xml:space="preserve">CAATAGACAGCTGAT</t>
  </si>
  <si>
    <t xml:space="preserve">Z0340</t>
  </si>
  <si>
    <t xml:space="preserve">CAGTCTGATCCTGAT</t>
  </si>
  <si>
    <t xml:space="preserve">Z0341</t>
  </si>
  <si>
    <t xml:space="preserve">CTTGCATAGCGTGAT</t>
  </si>
  <si>
    <t xml:space="preserve">Z0342</t>
  </si>
  <si>
    <t xml:space="preserve">CTCGTGGCATGCATGAT</t>
  </si>
  <si>
    <t xml:space="preserve">Z0343</t>
  </si>
  <si>
    <t xml:space="preserve">CGCTGCCTGCTGCTGAT</t>
  </si>
  <si>
    <t xml:space="preserve">Z0344</t>
  </si>
  <si>
    <t xml:space="preserve">CATAGTTCATCTGAT</t>
  </si>
  <si>
    <t xml:space="preserve">Z0345</t>
  </si>
  <si>
    <t xml:space="preserve">CAATCAGCAGACGAT</t>
  </si>
  <si>
    <t xml:space="preserve">Z0346</t>
  </si>
  <si>
    <t xml:space="preserve">CATGAGCATGAGGCGAT</t>
  </si>
  <si>
    <t xml:space="preserve">Z0347</t>
  </si>
  <si>
    <t xml:space="preserve">CACATCAGTGGCGAT</t>
  </si>
  <si>
    <t xml:space="preserve">Z0348</t>
  </si>
  <si>
    <t xml:space="preserve">CTGCATGCACACCTGAT</t>
  </si>
  <si>
    <t xml:space="preserve">Z0349</t>
  </si>
  <si>
    <t xml:space="preserve">CTACTGGCAGCTGAT</t>
  </si>
  <si>
    <t xml:space="preserve">Z0350</t>
  </si>
  <si>
    <t xml:space="preserve">CTATTGATATGAGAT</t>
  </si>
  <si>
    <t xml:space="preserve">Z0351</t>
  </si>
  <si>
    <t xml:space="preserve">CTCATAGCCTGCATGAT</t>
  </si>
  <si>
    <t xml:space="preserve">Z0352</t>
  </si>
  <si>
    <t xml:space="preserve">CACATGCTCAATGCGAT</t>
  </si>
  <si>
    <t xml:space="preserve">Z0353</t>
  </si>
  <si>
    <t xml:space="preserve">CAACTCATATGCGAT</t>
  </si>
  <si>
    <t xml:space="preserve">Z0354</t>
  </si>
  <si>
    <t xml:space="preserve">CATGGCTGTCTCGAT</t>
  </si>
  <si>
    <t xml:space="preserve">Z0355</t>
  </si>
  <si>
    <t xml:space="preserve">CATCTAGCCATAGAT</t>
  </si>
  <si>
    <t xml:space="preserve">Z0356</t>
  </si>
  <si>
    <t xml:space="preserve">CAGTCAACAGCAGAT</t>
  </si>
  <si>
    <t xml:space="preserve">Z0357</t>
  </si>
  <si>
    <t xml:space="preserve">CTAGCGCAATGAGAT</t>
  </si>
  <si>
    <t xml:space="preserve">Z0358</t>
  </si>
  <si>
    <t xml:space="preserve">CATCATTAGCGCGAT</t>
  </si>
  <si>
    <t xml:space="preserve">Z0359</t>
  </si>
  <si>
    <t xml:space="preserve">CGCTTCATGCTGCAGAT</t>
  </si>
  <si>
    <t xml:space="preserve">Z0360</t>
  </si>
  <si>
    <t xml:space="preserve">CTGATGGCGCGCATGAT</t>
  </si>
  <si>
    <t xml:space="preserve">Z0361</t>
  </si>
  <si>
    <t xml:space="preserve">CTGATCTATGCAATGAT</t>
  </si>
  <si>
    <t xml:space="preserve">Z0362</t>
  </si>
  <si>
    <t xml:space="preserve">CACTGAATGTGCGAT</t>
  </si>
  <si>
    <t xml:space="preserve">Z0363</t>
  </si>
  <si>
    <t xml:space="preserve">CGCAATCTATCTGAT</t>
  </si>
  <si>
    <t xml:space="preserve">Z0364</t>
  </si>
  <si>
    <t xml:space="preserve">CGGCATGCTGTAGAT</t>
  </si>
  <si>
    <t xml:space="preserve">Z0365</t>
  </si>
  <si>
    <t xml:space="preserve">CTCATGTGTGGTGAT</t>
  </si>
  <si>
    <t xml:space="preserve">Z0366</t>
  </si>
  <si>
    <t xml:space="preserve">CTGCATATTGTGATGAT</t>
  </si>
  <si>
    <t xml:space="preserve">Z0367</t>
  </si>
  <si>
    <t xml:space="preserve">CGCATGTATGGCGAT</t>
  </si>
  <si>
    <t xml:space="preserve">Z0368</t>
  </si>
  <si>
    <t xml:space="preserve">CATATAACATGCATGAT</t>
  </si>
  <si>
    <t xml:space="preserve">Z0369</t>
  </si>
  <si>
    <t xml:space="preserve">CATATCTCCTGTGAT</t>
  </si>
  <si>
    <t xml:space="preserve">Z0370</t>
  </si>
  <si>
    <t xml:space="preserve">CTGATACAGAATGAT</t>
  </si>
  <si>
    <t xml:space="preserve">Z0371</t>
  </si>
  <si>
    <t xml:space="preserve">CTGTGCGCCATAGAT</t>
  </si>
  <si>
    <t xml:space="preserve">Z0372</t>
  </si>
  <si>
    <t xml:space="preserve">CAGAGCATGCTAATGAT</t>
  </si>
  <si>
    <t xml:space="preserve">Z0373</t>
  </si>
  <si>
    <t xml:space="preserve">CATAAGATGCGTGAT</t>
  </si>
  <si>
    <t xml:space="preserve">Z0374</t>
  </si>
  <si>
    <t xml:space="preserve">CATACAAGAGCTGAT</t>
  </si>
  <si>
    <t xml:space="preserve">Z0375</t>
  </si>
  <si>
    <t xml:space="preserve">CATGCTGAATGTGTGAT</t>
  </si>
  <si>
    <t xml:space="preserve">Z0376</t>
  </si>
  <si>
    <t xml:space="preserve">CTCATGATTACTGAT</t>
  </si>
  <si>
    <t xml:space="preserve">Z0377</t>
  </si>
  <si>
    <t xml:space="preserve">CATGACGCATTAGAT</t>
  </si>
  <si>
    <t xml:space="preserve">Z0378</t>
  </si>
  <si>
    <t xml:space="preserve">CGTGTGCAACATGAT</t>
  </si>
  <si>
    <t xml:space="preserve">Z0379</t>
  </si>
  <si>
    <t xml:space="preserve">CGGTGCATATCAGAT</t>
  </si>
  <si>
    <t xml:space="preserve">Z0380</t>
  </si>
  <si>
    <t xml:space="preserve">CTTCGATGCTGTGAT</t>
  </si>
  <si>
    <t xml:space="preserve">Z0381</t>
  </si>
  <si>
    <t xml:space="preserve">CAATAGATGTGAGAT</t>
  </si>
  <si>
    <t xml:space="preserve">Z0382</t>
  </si>
  <si>
    <t xml:space="preserve">CGATGCCATCTCATGAT</t>
  </si>
  <si>
    <t xml:space="preserve">Z0383</t>
  </si>
  <si>
    <t xml:space="preserve">CGATCACAAGCTGAT</t>
  </si>
  <si>
    <t xml:space="preserve">Z0384</t>
  </si>
  <si>
    <t xml:space="preserve">CTGTGATGTAATGAT</t>
  </si>
  <si>
    <t xml:space="preserve">Reference </t>
  </si>
  <si>
    <t xml:space="preserve">Organism </t>
  </si>
  <si>
    <t xml:space="preserve">Source </t>
  </si>
  <si>
    <t xml:space="preserve">FASTA File </t>
  </si>
  <si>
    <t xml:space="preserve">b38 </t>
  </si>
  <si>
    <t xml:space="preserve">Human </t>
  </si>
  <si>
    <t xml:space="preserve">s3://broad-references/hg38/v0/Homo_sapiens_assembly38.fasta** </t>
  </si>
  <si>
    <t xml:space="preserve">Homo_sapiens_assembly38.fasta </t>
  </si>
  <si>
    <t xml:space="preserve">b38-lowpass </t>
  </si>
  <si>
    <t xml:space="preserve">Homo_sapiens_assembly38.fasta (configuration adjustment - no interval files to avoid coverage mismatch) </t>
  </si>
  <si>
    <t xml:space="preserve">b37 </t>
  </si>
  <si>
    <t xml:space="preserve">s3://broad-references/hg19/v0/Homo_sapiens_assembly19.fasta** </t>
  </si>
  <si>
    <t xml:space="preserve">Homo_sapiens_assembly19.fasta </t>
  </si>
  <si>
    <t xml:space="preserve">B37-lowpass </t>
  </si>
  <si>
    <t xml:space="preserve">Homo_sapiens_assembly19.fasta (configuration adjustment - no interval files to avoid coverage mismatch) </t>
  </si>
  <si>
    <t xml:space="preserve">GRCh38_masked </t>
  </si>
  <si>
    <t xml:space="preserve">s3://ultimagen-pantera-team/GRCh38_masked_exclusions_alts_hlas.fa </t>
  </si>
  <si>
    <t xml:space="preserve">GRCh38_masked_exclusions_alts_hlas.fa </t>
  </si>
  <si>
    <t xml:space="preserve">GRCh38_masked_v2 </t>
  </si>
  <si>
    <t xml:space="preserve">https://storage.googleapis.com/hmf-public/HMFtools-Resources/ref_genome/38/GRCh38_masked_exclusions_alts_hlas.fasta </t>
  </si>
  <si>
    <t xml:space="preserve">GRCh38_masked_v2.fa </t>
  </si>
  <si>
    <t xml:space="preserve">hg38_no_alt </t>
  </si>
  <si>
    <t xml:space="preserve">https://ftp.ncbi.nlm.nih.gov/genomes/all/GCA/000/001/405/GCA_000001405.15_GRCh38/seqs_for_alignment_pipelines.ucsc_ids/GCA_000001405.15_GRCh38_no_alt_analysis_set.fna.gz </t>
  </si>
  <si>
    <t xml:space="preserve">hg38_no_alt.fa </t>
  </si>
  <si>
    <t xml:space="preserve">hg38_no_alt_contig </t>
  </si>
  <si>
    <t xml:space="preserve">https://ftp.ncbi.nlm.nih.gov/genomes/all/GCA/000/001/405/GCA_000001405.15_GRCh38/seqs_for_alignment_pipelines.ucsc_ids/GCA_000001405.15_GRCh38_no_alt_plus_hs38d1_analysis_set.fna.gz </t>
  </si>
  <si>
    <t xml:space="preserve">GCA_000001405.fa </t>
  </si>
  <si>
    <t xml:space="preserve">hg38_methyl </t>
  </si>
  <si>
    <t xml:space="preserve">Human – methylated </t>
  </si>
  <si>
    <t xml:space="preserve">hg38_Lambda_pUC19.fa </t>
  </si>
  <si>
    <t xml:space="preserve">hg19 </t>
  </si>
  <si>
    <t xml:space="preserve">https://hgdownload.soe.ucsc.edu/goldenPath/hg19/bigZips/analysisSet/hg19.p13.plusMT.no_alt_analysis_set.fa.gz </t>
  </si>
  <si>
    <t xml:space="preserve">hg19-2411.fa </t>
  </si>
  <si>
    <t xml:space="preserve">hg19-adna </t>
  </si>
  <si>
    <t xml:space="preserve">Human – ancient DNA </t>
  </si>
  <si>
    <t xml:space="preserve">hs37d5_rsrs_pathogen.fa </t>
  </si>
  <si>
    <t xml:space="preserve">hs37d5 </t>
  </si>
  <si>
    <t xml:space="preserve">https://ftp.1000genomes.ebi.ac.uk/vol1/ftp/technical/reference/phase2_reference_assembly_sequence/ </t>
  </si>
  <si>
    <t xml:space="preserve">hs37d5.fa </t>
  </si>
  <si>
    <t xml:space="preserve">T2T_maskedY </t>
  </si>
  <si>
    <t xml:space="preserve">https://www.ncbi.nlm.nih.gov/datasets/genome/GCF_009914755.1/ </t>
  </si>
  <si>
    <t xml:space="preserve">T2T_maskedY.fa </t>
  </si>
  <si>
    <t xml:space="preserve">dm6 </t>
  </si>
  <si>
    <t xml:space="preserve">Drosophila melanogaster </t>
  </si>
  <si>
    <t xml:space="preserve">https://hgdownload.soe.ucsc.edu/goldenPath/dm6/bigZips/dm6.fa.gz </t>
  </si>
  <si>
    <t xml:space="preserve">dm6.fa </t>
  </si>
  <si>
    <t xml:space="preserve">DM_BDGP6_46 </t>
  </si>
  <si>
    <t xml:space="preserve">https://ftp.ensembl.org/pub/release-113/fasta/drosophila_melanogaster/dna/Drosophila_melanogaster.BDGP6.46.dna.toplevel.fa.gz </t>
  </si>
  <si>
    <t xml:space="preserve">DM_BDGP6_46.fa </t>
  </si>
  <si>
    <t xml:space="preserve">Danrer11-zebrafish </t>
  </si>
  <si>
    <t xml:space="preserve">Danio rerio </t>
  </si>
  <si>
    <t xml:space="preserve">https://hgdownload.soe.ucsc.edu/goldenPath/danRer11/bigZips/danRer11.fa.gz </t>
  </si>
  <si>
    <t xml:space="preserve">danRer11.fa </t>
  </si>
  <si>
    <t xml:space="preserve">mm10 </t>
  </si>
  <si>
    <t xml:space="preserve">Mus musculus </t>
  </si>
  <si>
    <t xml:space="preserve">https://hgdownload.soe.ucsc.edu/goldenPath/mm10/bigZips/mm10.fa.gz </t>
  </si>
  <si>
    <t xml:space="preserve">mm10.fa </t>
  </si>
  <si>
    <t xml:space="preserve">mm10_methyl </t>
  </si>
  <si>
    <t xml:space="preserve">GRCm38.primary_assembly.genome.fa </t>
  </si>
  <si>
    <t xml:space="preserve">mm39 </t>
  </si>
  <si>
    <t xml:space="preserve">https://hgdownload.soe.ucsc.edu/goldenPath/mm39/bigZips/mm39.fa.gz </t>
  </si>
  <si>
    <t xml:space="preserve">mm39.fa </t>
  </si>
  <si>
    <t xml:space="preserve">WBcel235 </t>
  </si>
  <si>
    <t xml:space="preserve">Caenorhabditis elegans </t>
  </si>
  <si>
    <t xml:space="preserve">https://www.ncbi.nlm.nih.gov/datasets/genome/GCA_000002985.3/ </t>
  </si>
  <si>
    <t xml:space="preserve">WBcel235.fa </t>
  </si>
  <si>
    <t xml:space="preserve">UU_Cfam_GSD_1_0_ROSY </t>
  </si>
  <si>
    <t xml:space="preserve">Canis lupus familiaris </t>
  </si>
  <si>
    <t xml:space="preserve">https://www.ncbi.nlm.nih.gov/datasets/genome/GCF_011100685.1/ </t>
  </si>
  <si>
    <t xml:space="preserve">UU_Cfam_GSD_1.0_ROSY.fa </t>
  </si>
  <si>
    <t xml:space="preserve">UU_Cfam_GSD_1.0_ROSY-adna </t>
  </si>
  <si>
    <t xml:space="preserve">Canis lupus familiaris – ancient DNA </t>
  </si>
  <si>
    <t xml:space="preserve">UU_Cfam_GSD_1.0_ROSY.plus_30MSNPs.fasta </t>
  </si>
  <si>
    <t xml:space="preserve">Barley_Morex v3 </t>
  </si>
  <si>
    <t xml:space="preserve">Hordeum vulgare </t>
  </si>
  <si>
    <t xml:space="preserve">https://www.ncbi.nlm.nih.gov/datasets/genome/GCF_904849725.1/ </t>
  </si>
  <si>
    <t xml:space="preserve">Barley_MorexV3.fa </t>
  </si>
  <si>
    <t xml:space="preserve">Oil Palm_EG11 </t>
  </si>
  <si>
    <t xml:space="preserve">Elaeis guineensis </t>
  </si>
  <si>
    <t xml:space="preserve">https://www.ncbi.nlm.nih.gov/datasets/genome/GCF_000442705.2/ </t>
  </si>
  <si>
    <t xml:space="preserve">oil_palm_EG11.fa </t>
  </si>
  <si>
    <t xml:space="preserve">https://console.cloud.google.com/storage/browser/gcp-public-data--broad-references</t>
  </si>
  <si>
    <t xml:space="preserve">Partial lane sequencing-lib QC</t>
  </si>
  <si>
    <t xml:space="preserve">Premade-10X Whole Genome Library</t>
  </si>
  <si>
    <t xml:space="preserve">Xten Lane sequencing-lib QC</t>
  </si>
  <si>
    <t xml:space="preserve">Premade-10X 5 prime Single Cell Transcriptome Library</t>
  </si>
  <si>
    <t xml:space="preserve">Xten Lane sequencing-Only Qpcr</t>
  </si>
  <si>
    <t xml:space="preserve">Premade-10X 3 prime Single Cell Transcriptome Library</t>
  </si>
  <si>
    <t xml:space="preserve">Xten Lane sequencing-non lib QC</t>
  </si>
  <si>
    <t xml:space="preserve">Premade-10X VDJ Library</t>
  </si>
  <si>
    <t xml:space="preserve">Nova S2 Flowcell sequencing-lib QC</t>
  </si>
  <si>
    <t xml:space="preserve">Premade-10X 5 prime Feature Barcode Library</t>
  </si>
  <si>
    <t xml:space="preserve">ddH2O</t>
  </si>
  <si>
    <t xml:space="preserve">Nova S2 Flowcell sequencing-Only Qpcr</t>
  </si>
  <si>
    <t xml:space="preserve">Premade-10X 3 prime Feature Barcode Library</t>
  </si>
  <si>
    <t xml:space="preserve">EB or EBT</t>
  </si>
  <si>
    <t xml:space="preserve">Nova S2 Flowcell sequencing-non lib QC</t>
  </si>
  <si>
    <t xml:space="preserve">UG - CRAM</t>
  </si>
  <si>
    <t xml:space="preserve">Premade-10X ATAC Library</t>
  </si>
  <si>
    <t xml:space="preserve">TE</t>
  </si>
  <si>
    <t xml:space="preserve">Nova S4 Lane sequencing-lib QC</t>
  </si>
  <si>
    <t xml:space="preserve">Ultima UG100</t>
  </si>
  <si>
    <t xml:space="preserve">UG - uCRAM</t>
  </si>
  <si>
    <t xml:space="preserve">Premade-10X ATAC (Multiome) Library</t>
  </si>
  <si>
    <t xml:space="preserve">RSB</t>
  </si>
  <si>
    <t xml:space="preserve">Nova S4 Lane sequencing-Only Qpcr</t>
  </si>
  <si>
    <t xml:space="preserve">Premade-10X Visium Library</t>
  </si>
  <si>
    <t xml:space="preserve">Nova S4 Lane sequencing-non lib QC</t>
  </si>
  <si>
    <t xml:space="preserve">Premade-10X Single Cell Gene Expression Flex Library</t>
  </si>
  <si>
    <t xml:space="preserve">Other (add to notes)</t>
  </si>
  <si>
    <t xml:space="preserve">Nova S4 Flowcell sequencing-lib QC</t>
  </si>
  <si>
    <t xml:space="preserve">Premade-Eukaryotic RNA-seq Library</t>
  </si>
  <si>
    <t xml:space="preserve">Nova S4 Flowcell sequencing-Only Qpcr</t>
  </si>
  <si>
    <t xml:space="preserve">Premade-Single Cell RNA Library - NOT 10X</t>
  </si>
  <si>
    <t xml:space="preserve">Nova S4 Flowcell sequencing-non lib QC</t>
  </si>
  <si>
    <t xml:space="preserve">CRISPR</t>
  </si>
  <si>
    <t xml:space="preserve">Premade-Small RNA Library</t>
  </si>
  <si>
    <t xml:space="preserve">PE250 Lane sequencing-lib QC</t>
  </si>
  <si>
    <t xml:space="preserve">ATAC</t>
  </si>
  <si>
    <t xml:space="preserve">Premade-Nascent RNA-aimed Library</t>
  </si>
  <si>
    <t xml:space="preserve">PE250 Lane sequencing-Only Qpcr</t>
  </si>
  <si>
    <t xml:space="preserve">Hash_oligo</t>
  </si>
  <si>
    <t xml:space="preserve">Premade-Truseq Stranded mRNA/Total RNA Library</t>
  </si>
  <si>
    <t xml:space="preserve">PE250 Lane sequencing-non lib QC</t>
  </si>
  <si>
    <t xml:space="preserve">Gex_has_oligo</t>
  </si>
  <si>
    <t xml:space="preserve">Premade-NanoString DSP Library</t>
  </si>
  <si>
    <t xml:space="preserve">SE50 Lane sequencing-lib QC</t>
  </si>
  <si>
    <t xml:space="preserve">Premade-PCR Product Library</t>
  </si>
  <si>
    <t xml:space="preserve">SE50 Lane sequencing-Only Qpcr</t>
  </si>
  <si>
    <t xml:space="preserve">Premade-WGS Library (Microbe)</t>
  </si>
  <si>
    <t xml:space="preserve">SE50 Lane sequencing-non lib QC</t>
  </si>
  <si>
    <t xml:space="preserve">Premade-PCR-free WGS Library (Microbe)</t>
  </si>
  <si>
    <t xml:space="preserve">PE50 Flowcell sequencing- Lib QC</t>
  </si>
  <si>
    <t xml:space="preserve">Premade-WGS Library (Animal or Plant)</t>
  </si>
  <si>
    <t xml:space="preserve">PE50 Flowcell sequencing- non Lib QC</t>
  </si>
  <si>
    <t xml:space="preserve">Premade-PCR-free WGS Library (Animal or Plant)</t>
  </si>
  <si>
    <t xml:space="preserve">PE50 Flowcell sequencing- Only qPCR</t>
  </si>
  <si>
    <t xml:space="preserve">Premade-WGS Library (Human)</t>
  </si>
  <si>
    <t xml:space="preserve">Premade-PCR-free WGS Library (Human)</t>
  </si>
  <si>
    <t xml:space="preserve">Premade-WES Library</t>
  </si>
  <si>
    <t xml:space="preserve">Premade-Human Target Region Library</t>
  </si>
  <si>
    <t xml:space="preserve">Premade-Shotgun Metagenomic Library</t>
  </si>
  <si>
    <t xml:space="preserve">Premade-Amplicon Metagenomic Library</t>
  </si>
  <si>
    <t xml:space="preserve">Premade-Hi-C Library</t>
  </si>
  <si>
    <t xml:space="preserve">Premade-ATAC-Seq Library</t>
  </si>
  <si>
    <t xml:space="preserve">Premade-ChIP-seq/CUT&amp;RUN/CUT&amp;Tag Library</t>
  </si>
  <si>
    <t xml:space="preserve">Premade-Methylation Library</t>
  </si>
  <si>
    <t xml:space="preserve">Premade-RAD Library/GBS Library</t>
  </si>
  <si>
    <t xml:space="preserve">Premade-RIP-seq or CLIP-seq Library</t>
  </si>
  <si>
    <t xml:space="preserve">Premade-Others (with fixed bases)</t>
  </si>
  <si>
    <t xml:space="preserve">Premade-Others (without fixed bases)</t>
  </si>
  <si>
    <t xml:space="preserve">Premade-DNBelab C Series Single-cell RNA-Oligo library</t>
  </si>
  <si>
    <t xml:space="preserve">Premade-DNBelab C Series Single-cell RNA-cDNA library</t>
  </si>
  <si>
    <t xml:space="preserve">Premade-BD Single-Cell Multiplexing (SMK)/Sample Tag Library</t>
  </si>
  <si>
    <t xml:space="preserve">Premade-BD AbSeq Library</t>
  </si>
  <si>
    <t xml:space="preserve">Premade-BD Whole Transcriptome Analysis (WTA) Library</t>
  </si>
  <si>
    <t xml:space="preserve">Premade-Parse Evercode Whole Transcriptome (WT) Library</t>
  </si>
  <si>
    <t xml:space="preserve">Premade-Parse Evercode BCR Library</t>
  </si>
  <si>
    <t xml:space="preserve">Premade-Parse Evercode TCR Library</t>
  </si>
  <si>
    <t xml:space="preserve">Premade-CUT-RUN Library</t>
  </si>
  <si>
    <t xml:space="preserve">Premade-LncRNA Library</t>
  </si>
  <si>
    <t xml:space="preserve">Premade-SeekOne Single-Cell Library</t>
  </si>
  <si>
    <t xml:space="preserve">Premade-MobiCube Single-Cell Library</t>
  </si>
  <si>
    <t xml:space="preserve">Premade-PCR Product/CRISPR Library</t>
  </si>
  <si>
    <t xml:space="preserve">Olink Explore HT Library</t>
  </si>
  <si>
    <t xml:space="preserve">Olink Reveal Library</t>
  </si>
</sst>
</file>

<file path=xl/styles.xml><?xml version="1.0" encoding="utf-8"?>
<styleSheet xmlns="http://schemas.openxmlformats.org/spreadsheetml/2006/main">
  <numFmts count="2">
    <numFmt numFmtId="164" formatCode="General"/>
    <numFmt numFmtId="165" formatCode="@"/>
  </numFmts>
  <fonts count="24">
    <font>
      <sz val="11"/>
      <color rgb="FF000000"/>
      <name val="Calibri"/>
      <family val="0"/>
      <charset val="134"/>
    </font>
    <font>
      <sz val="10"/>
      <name val="Arial"/>
      <family val="0"/>
    </font>
    <font>
      <sz val="10"/>
      <name val="Arial"/>
      <family val="0"/>
    </font>
    <font>
      <sz val="10"/>
      <name val="Arial"/>
      <family val="0"/>
    </font>
    <font>
      <u val="single"/>
      <sz val="11"/>
      <color rgb="FF0000FF"/>
      <name val="Calibri"/>
      <family val="2"/>
      <charset val="1"/>
    </font>
    <font>
      <b val="true"/>
      <sz val="11"/>
      <color rgb="FF000000"/>
      <name val="Calibri"/>
      <family val="2"/>
      <charset val="1"/>
    </font>
    <font>
      <b val="true"/>
      <sz val="11"/>
      <color rgb="FFFF0000"/>
      <name val="Calibri"/>
      <family val="2"/>
      <charset val="1"/>
    </font>
    <font>
      <b val="true"/>
      <sz val="6"/>
      <name val="Calibri"/>
      <family val="2"/>
      <charset val="1"/>
    </font>
    <font>
      <b val="true"/>
      <sz val="6"/>
      <color rgb="FFFF0000"/>
      <name val="Calibri"/>
      <family val="2"/>
      <charset val="1"/>
    </font>
    <font>
      <i val="true"/>
      <sz val="8"/>
      <color rgb="FF000000"/>
      <name val="Calibri"/>
      <family val="2"/>
      <charset val="1"/>
    </font>
    <font>
      <b val="true"/>
      <i val="true"/>
      <sz val="8"/>
      <color rgb="FFFF0000"/>
      <name val="Calibri"/>
      <family val="2"/>
      <charset val="1"/>
    </font>
    <font>
      <sz val="8"/>
      <color rgb="FF000000"/>
      <name val="Calibri"/>
      <family val="2"/>
      <charset val="1"/>
    </font>
    <font>
      <sz val="11"/>
      <color rgb="FF000000"/>
      <name val="Arial"/>
      <family val="2"/>
      <charset val="1"/>
    </font>
    <font>
      <sz val="9"/>
      <name val="宋体"/>
      <family val="0"/>
      <charset val="134"/>
    </font>
    <font>
      <sz val="10"/>
      <color rgb="FF000000"/>
      <name val="Tahoma"/>
      <family val="2"/>
      <charset val="1"/>
    </font>
    <font>
      <sz val="11"/>
      <color rgb="FF000000"/>
      <name val="Calibri"/>
      <family val="2"/>
      <charset val="1"/>
    </font>
    <font>
      <u val="single"/>
      <sz val="11"/>
      <color rgb="FF800080"/>
      <name val="Calibri"/>
      <family val="2"/>
      <charset val="1"/>
    </font>
    <font>
      <b val="true"/>
      <sz val="9"/>
      <name val="Times New Roman"/>
      <family val="1"/>
      <charset val="1"/>
    </font>
    <font>
      <sz val="9"/>
      <name val="Times New Roman"/>
      <family val="1"/>
      <charset val="1"/>
    </font>
    <font>
      <b val="true"/>
      <sz val="11"/>
      <color rgb="FFFFFFFF"/>
      <name val="Calibri"/>
      <family val="2"/>
      <charset val="1"/>
    </font>
    <font>
      <sz val="9"/>
      <color rgb="FF000000"/>
      <name val="Courier New"/>
      <family val="3"/>
      <charset val="1"/>
    </font>
    <font>
      <sz val="10"/>
      <color rgb="FF000000"/>
      <name val="Arial Regular"/>
      <family val="0"/>
      <charset val="134"/>
    </font>
    <font>
      <sz val="10"/>
      <color rgb="FF0462C1"/>
      <name val="Arial Regular"/>
      <family val="0"/>
      <charset val="134"/>
    </font>
    <font>
      <sz val="11"/>
      <color rgb="FF000000"/>
      <name val="Calibri"/>
      <family val="3"/>
      <charset val="134"/>
    </font>
  </fonts>
  <fills count="5">
    <fill>
      <patternFill patternType="none"/>
    </fill>
    <fill>
      <patternFill patternType="gray125"/>
    </fill>
    <fill>
      <patternFill patternType="solid">
        <fgColor rgb="FFE7E6E6"/>
        <bgColor rgb="FFFFFFFF"/>
      </patternFill>
    </fill>
    <fill>
      <patternFill patternType="solid">
        <fgColor rgb="FFFFFF00"/>
        <bgColor rgb="FFFFFF00"/>
      </patternFill>
    </fill>
    <fill>
      <patternFill patternType="solid">
        <fgColor rgb="FF404040"/>
        <bgColor rgb="FF33330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top" textRotation="0" wrapText="true" indent="0" shrinkToFit="false"/>
      <protection locked="true" hidden="false"/>
    </xf>
    <xf numFmtId="165" fontId="5" fillId="3" borderId="1" xfId="0" applyFont="true" applyBorder="true" applyAlignment="true" applyProtection="false">
      <alignment horizontal="center"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4" fillId="0" borderId="0" xfId="20" applyFont="true" applyBorder="true" applyAlignment="true" applyProtection="true">
      <alignment horizontal="left" vertical="center" textRotation="0" wrapText="true" indent="0" shrinkToFit="false"/>
      <protection locked="true" hidden="false"/>
    </xf>
    <xf numFmtId="164" fontId="4" fillId="0" borderId="0" xfId="2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16" fillId="0" borderId="0" xfId="20" applyFont="true" applyBorder="true" applyAlignment="true" applyProtection="true">
      <alignment horizontal="left" vertical="center" textRotation="0" wrapText="true" indent="0" shrinkToFit="false"/>
      <protection locked="true" hidden="false"/>
    </xf>
    <xf numFmtId="164" fontId="19" fillId="4"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Hyperlink 2" xfId="20" builtinId="53" customBuiltin="tru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462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10xgenomics.com/support/universal-three-prime-gene-expression/documentation/steps/library-prep/chromium-gem-x-single-cell-3-v4-gene-expression-user-guide" TargetMode="External"/><Relationship Id="rId3" Type="http://schemas.openxmlformats.org/officeDocument/2006/relationships/hyperlink" Target="https://www.idtdna.com/pages/products/next-generation-sequencing/workflow/xgen-ngs-library-preparation/ngs-adapters-indexing-primers/xgen-for-ultima-genomics" TargetMode="External"/><Relationship Id="rId4" Type="http://schemas.openxmlformats.org/officeDocument/2006/relationships/hyperlink" Target="https://www.idtdna.com/pages/products/next-generation-sequencing/workflow/xgen-ngs-library-preparation/ngs-adapters-indexing-primers/xgen-for-ultima-genomics" TargetMode="External"/><Relationship Id="rId5" Type="http://schemas.openxmlformats.org/officeDocument/2006/relationships/hyperlink" Target="https://www.10xgenomics.com/support/universal-three-prime-gene-expression/documentation/steps/library-prep/chromium-single-cell-3-reagent-kits-user-guide-v-3-1-chemistry-dual-index" TargetMode="External"/><Relationship Id="rId6" Type="http://schemas.openxmlformats.org/officeDocument/2006/relationships/hyperlink" Target="https://www.idtdna.com/pages/products/next-generation-sequencing/workflow/xgen-ngs-library-preparation/ngs-adapters-indexing-primers/xgen-for-ultima-genomics" TargetMode="External"/><Relationship Id="rId7" Type="http://schemas.openxmlformats.org/officeDocument/2006/relationships/hyperlink" Target="https://www.idtdna.com/pages/products/next-generation-sequencing/workflow/xgen-ngs-library-preparation/ngs-adapters-indexing-primers/xgen-for-ultima-genomics" TargetMode="External"/><Relationship Id="rId8" Type="http://schemas.openxmlformats.org/officeDocument/2006/relationships/hyperlink" Target="https://www.10xgenomics.com/support/universal-five-prime-gene-expression/documentation/steps/library-prep/chromium-gem-x-single-cell-5-v3-gene-expression-user-guide" TargetMode="External"/><Relationship Id="rId9" Type="http://schemas.openxmlformats.org/officeDocument/2006/relationships/hyperlink" Target="https://www.idtdna.com/pages/products/next-generation-sequencing/workflow/xgen-ngs-library-preparation/ngs-adapters-indexing-primers/xgen-for-ultima-genomics" TargetMode="External"/><Relationship Id="rId10" Type="http://schemas.openxmlformats.org/officeDocument/2006/relationships/hyperlink" Target="https://www.idtdna.com/pages/products/next-generation-sequencing/workflow/xgen-ngs-library-preparation/ngs-adapters-indexing-primers/xgen-for-ultima-genomics" TargetMode="External"/><Relationship Id="rId11" Type="http://schemas.openxmlformats.org/officeDocument/2006/relationships/hyperlink" Target="https://www.10xgenomics.com/support/universal-five-prime-gene-expression/documentation/steps/library-prep/chromium-single-cell-5-reagent-kits-user-guide-v-2-chemistry-dual-index" TargetMode="External"/><Relationship Id="rId12" Type="http://schemas.openxmlformats.org/officeDocument/2006/relationships/hyperlink" Target="https://www.idtdna.com/pages/products/next-generation-sequencing/workflow/xgen-ngs-library-preparation/ngs-adapters-indexing-primers/xgen-for-ultima-genomics" TargetMode="External"/><Relationship Id="rId13" Type="http://schemas.openxmlformats.org/officeDocument/2006/relationships/hyperlink" Target="https://www.idtdna.com/pages/products/next-generation-sequencing/workflow/xgen-ngs-library-preparation/ngs-adapters-indexing-primers/xgen-for-ultima-genomics" TargetMode="External"/><Relationship Id="rId14" Type="http://schemas.openxmlformats.org/officeDocument/2006/relationships/hyperlink" Target="https://www.10xgenomics.com/support/universal-five-prime-gene-expression/documentation/steps/library-prep/chromium-gem-x-single-cell-5-v3-gene-expression-with-feature-barcoding-technology-for-crispr-screening" TargetMode="External"/><Relationship Id="rId15" Type="http://schemas.openxmlformats.org/officeDocument/2006/relationships/hyperlink" Target="https://www.idtdna.com/pages/products/next-generation-sequencing/workflow/xgen-ngs-library-preparation/ngs-adapters-indexing-primers/xgen-for-ultima-genomics" TargetMode="External"/><Relationship Id="rId16" Type="http://schemas.openxmlformats.org/officeDocument/2006/relationships/hyperlink" Target="https://www.idtdna.com/pages/products/next-generation-sequencing/workflow/xgen-ngs-library-preparation/ngs-adapters-indexing-primers/xgen-for-ultima-genomics" TargetMode="External"/><Relationship Id="rId17" Type="http://schemas.openxmlformats.org/officeDocument/2006/relationships/hyperlink" Target="https://www.10xgenomics.com/support/flex-gene-expression/documentation/steps/library-prep/chromium-single-cell-gene-expression-flex-reagent-kits-for-multiplexed-samples" TargetMode="External"/><Relationship Id="rId18" Type="http://schemas.openxmlformats.org/officeDocument/2006/relationships/hyperlink" Target="https://www.idtdna.com/pages/products/next-generation-sequencing/workflow/xgen-ngs-library-preparation/ngs-adapters-indexing-primers/xgen-for-ultima-genomics" TargetMode="External"/><Relationship Id="rId19" Type="http://schemas.openxmlformats.org/officeDocument/2006/relationships/hyperlink" Target="https://www.idtdna.com/pages/products/next-generation-sequencing/workflow/xgen-ngs-library-preparation/ngs-adapters-indexing-primers/xgen-for-ultima-genomics" TargetMode="External"/><Relationship Id="rId20" Type="http://schemas.openxmlformats.org/officeDocument/2006/relationships/hyperlink" Target="https://www.10xgenomics.com/support/flex-gene-expression/documentation/steps/library-prep/crispr-screening-with-gem-x-flex-gene-expression" TargetMode="External"/><Relationship Id="rId21" Type="http://schemas.openxmlformats.org/officeDocument/2006/relationships/hyperlink" Target="https://www.idtdna.com/pages/products/next-generation-sequencing/workflow/xgen-ngs-library-preparation/ngs-adapters-indexing-primers/xgen-for-ultima-genomics" TargetMode="External"/><Relationship Id="rId22" Type="http://schemas.openxmlformats.org/officeDocument/2006/relationships/hyperlink" Target="https://www.idtdna.com/pages/products/next-generation-sequencing/workflow/xgen-ngs-library-preparation/ngs-adapters-indexing-primers/xgen-for-ultima-genomics" TargetMode="External"/><Relationship Id="rId23" Type="http://schemas.openxmlformats.org/officeDocument/2006/relationships/hyperlink" Target="https://www.10xgenomics.com/support/epi-atac/documentation/steps/library-prep/chromium-single-cell-atac-reagent-kits-user-guide-v-2-chemistry" TargetMode="External"/><Relationship Id="rId24" Type="http://schemas.openxmlformats.org/officeDocument/2006/relationships/hyperlink" Target="https://www.10xgenomics.com/support/epi-multiome/documentation/steps/library-prep/chromium-next-gem-single-cell-multiome-atac-plus-gene-expression-reagent-kits-user-guide" TargetMode="External"/><Relationship Id="rId25" Type="http://schemas.openxmlformats.org/officeDocument/2006/relationships/hyperlink" Target="https://www.10xgenomics.com/support/universal-five-prime-gene-expression/documentation/steps/library-prep/chromium-gem-x-single-cell-5-v3-gene-expression-with-feature-barcoding-technology-for-cell-surface-protein-and-crispr-screening-user-guide" TargetMode="External"/><Relationship Id="rId26" Type="http://schemas.openxmlformats.org/officeDocument/2006/relationships/hyperlink" Target="https://www.idtdna.com/pages/products/next-generation-sequencing/workflow/xgen-ngs-library-preparation/ngs-adapters-indexing-primers/xgen-for-ultima-genomics" TargetMode="External"/><Relationship Id="rId27" Type="http://schemas.openxmlformats.org/officeDocument/2006/relationships/hyperlink" Target="https://www.10xgenomics.com/support/universal-three-prime-gene-expression/documentation/steps/library-prep/chromium-gem-x-single-cell-3-v4-gene-expression-with-feature-barcoding-technology-for-cell-surface-protein-user-guide" TargetMode="External"/><Relationship Id="rId28" Type="http://schemas.openxmlformats.org/officeDocument/2006/relationships/hyperlink" Target="https://www.idtdna.com/pages/products/next-generation-sequencing/workflow/xgen-ngs-library-preparation/ngs-adapters-indexing-primers/xgen-for-ultima-genomics" TargetMode="External"/><Relationship Id="rId29" Type="http://schemas.openxmlformats.org/officeDocument/2006/relationships/hyperlink" Target="https://www.10xgenomics.com/support/spatial-gene-expression-hd/documentation/steps/library-construction/visium-hd-spatial-gene-expression-reagent-kits-user-guide" TargetMode="External"/><Relationship Id="rId30" Type="http://schemas.openxmlformats.org/officeDocument/2006/relationships/hyperlink" Target="https://www.idtdna.com/pages/products/next-generation-sequencing/workflow/xgen-ngs-library-preparation/ngs-adapters-indexing-primers/xgen-for-ultima-genomics" TargetMode="External"/><Relationship Id="rId31" Type="http://schemas.openxmlformats.org/officeDocument/2006/relationships/hyperlink" Target="https://www.idtdna.com/pages/products/next-generation-sequencing/workflow/xgen-ngs-library-preparation/ngs-adapters-indexing-primers/xgen-for-ultima-genomics" TargetMode="External"/><Relationship Id="rId32" Type="http://schemas.openxmlformats.org/officeDocument/2006/relationships/hyperlink" Target="https://www.idtdna.com/pages/products/next-generation-sequencing/workflow/xgen-ngs-library-preparation/ngs-adapters-indexing-primers/xgen-for-ultima-genomics" TargetMode="External"/><Relationship Id="rId33" Type="http://schemas.openxmlformats.org/officeDocument/2006/relationships/hyperlink" Target="https://www.idtdna.com/pages/products/next-generation-sequencing/workflow/xgen-ngs-library-preparation/ngs-adapters-indexing-primers/xgen-for-ultima-genomics" TargetMode="External"/><Relationship Id="rId34" Type="http://schemas.openxmlformats.org/officeDocument/2006/relationships/hyperlink" Target="https://www.idtdna.com/pages/products/next-generation-sequencing/workflow/xgen-ngs-library-preparation/ngs-adapters-indexing-primers/xgen-for-ultima-genomics" TargetMode="External"/><Relationship Id="rId35" Type="http://schemas.openxmlformats.org/officeDocument/2006/relationships/hyperlink" Target="https://www.idtdna.com/pages/products/next-generation-sequencing/workflow/xgen-ngs-library-preparation/ngs-adapters-indexing-primers/xgen-for-ultima-genomics" TargetMode="External"/><Relationship Id="rId36" Type="http://schemas.openxmlformats.org/officeDocument/2006/relationships/hyperlink" Target="https://support.parsebiosciences.com/hc/en-us/categories/18950704717076-User-Guides" TargetMode="External"/><Relationship Id="rId37" Type="http://schemas.openxmlformats.org/officeDocument/2006/relationships/hyperlink" Target="https://support.parsebiosciences.com/hc/en-us/categories/18950704717076-User-Guides" TargetMode="External"/><Relationship Id="rId38" Type="http://schemas.openxmlformats.org/officeDocument/2006/relationships/hyperlink" Target="https://scale.bio/support/?support_document_type=protocol" TargetMode="External"/><Relationship Id="rId39" Type="http://schemas.openxmlformats.org/officeDocument/2006/relationships/hyperlink" Target="https://scale.bio/support/?support_document_type=protocol" TargetMode="External"/><Relationship Id="rId40" Type="http://schemas.openxmlformats.org/officeDocument/2006/relationships/hyperlink" Target="https://www.idtdna.com/pages/products/next-generation-sequencing/workflow/xgen-ngs-library-preparation/ngs-adapters-indexing-primers/xgen-for-ultima-genomics" TargetMode="External"/><Relationship Id="rId41" Type="http://schemas.openxmlformats.org/officeDocument/2006/relationships/hyperlink" Target="https://www.idtdna.com/pages/products/next-generation-sequencing/workflow/xgen-ngs-library-preparation/ngs-adapters-indexing-primers/xgen-for-ultima-genomics" TargetMode="External"/><Relationship Id="rId42" Type="http://schemas.openxmlformats.org/officeDocument/2006/relationships/hyperlink" Target="https://www.neb.com/en-us/products/e7120-nebnext-enzymatic-methyl-seq-kit?srsltid=AfmBOoq1D_l2Fqc2rIdAkcl4_fGivQ04zN5iRLS7gkFe1ubUDpptpg0r" TargetMode="External"/><Relationship Id="rId43" Type="http://schemas.openxmlformats.org/officeDocument/2006/relationships/hyperlink" Target="https://www.idtdna.com/pages/products/next-generation-sequencing/workflow/xgen-ngs-library-preparation/ngs-adapters-indexing-primers/xgen-for-ultima-genomics" TargetMode="External"/><Relationship Id="rId44" Type="http://schemas.openxmlformats.org/officeDocument/2006/relationships/hyperlink" Target="https://www.idtdna.com/pages/products/next-generation-sequencing/workflow/xgen-ngs-library-preparation/ngs-adapters-indexing-primers/xgen-for-ultima-genomics" TargetMode="External"/><Relationship Id="rId45" Type="http://schemas.openxmlformats.org/officeDocument/2006/relationships/hyperlink" Target="https://www.idtdna.com/pages/products/next-generation-sequencing/workflow/xgen-ngs-library-preparation/methyl-seq-dna-library-kit" TargetMode="External"/><Relationship Id="rId46" Type="http://schemas.openxmlformats.org/officeDocument/2006/relationships/hyperlink" Target="https://www.idtdna.com/pages/products/next-generation-sequencing/workflow/xgen-ngs-library-preparation/ngs-adapters-indexing-primers/xgen-for-ultima-genomics" TargetMode="External"/><Relationship Id="rId47" Type="http://schemas.openxmlformats.org/officeDocument/2006/relationships/hyperlink" Target="https://www.idtdna.com/pages/products/next-generation-sequencing/workflow/xgen-ngs-library-preparation/ngs-adapters-indexing-primers/xgen-for-ultima-genomics" TargetMode="External"/><Relationship Id="rId48" Type="http://schemas.openxmlformats.org/officeDocument/2006/relationships/hyperlink" Target="https://www.idtdna.com/pages/products/next-generation-sequencing/workflow/xgen-ngs-library-preparation/dna-library-preparation/cfdna-ffpe-prep-kit" TargetMode="External"/><Relationship Id="rId49" Type="http://schemas.openxmlformats.org/officeDocument/2006/relationships/hyperlink" Target="https://www.idtdna.com/pages/products/next-generation-sequencing/workflow/xgen-ngs-library-preparation/ngs-adapters-indexing-primers/xgen-for-ultima-genomics" TargetMode="External"/><Relationship Id="rId50" Type="http://schemas.openxmlformats.org/officeDocument/2006/relationships/hyperlink" Target="https://www.idtdna.com/pages/products/next-generation-sequencing/workflow/xgen-ngs-library-preparation/ngs-adapters-indexing-primers/xgen-for-ultima-genomics" TargetMode="External"/><Relationship Id="rId51" Type="http://schemas.openxmlformats.org/officeDocument/2006/relationships/hyperlink" Target="https://www.idtdna.com/pages/products/next-generation-sequencing/workflow/xgen-ngs-library-preparation/ngs-adapters-indexing-primers/xgen-for-ultima-genomics" TargetMode="External"/><Relationship Id="rId52" Type="http://schemas.openxmlformats.org/officeDocument/2006/relationships/hyperlink" Target="https://www.idtdna.com/pages/products/next-generation-sequencing/workflow/xgen-ngs-library-preparation/ngs-adapters-indexing-primers/xgen-for-ultima-genomics" TargetMode="External"/><Relationship Id="rId53" Type="http://schemas.openxmlformats.org/officeDocument/2006/relationships/hyperlink" Target="https://www.idtdna.com/pages/products/next-generation-sequencing/workflow/xgen-ngs-library-preparation/ngs-adapters-indexing-primers/xgen-for-ultima-genomics" TargetMode="External"/><Relationship Id="rId54" Type="http://schemas.openxmlformats.org/officeDocument/2006/relationships/hyperlink" Target="https://www.idtdna.com/pages/products/next-generation-sequencing/workflow/xgen-ngs-library-preparation/ngs-adapters-indexing-primers/xgen-for-ultima-genomics" TargetMode="External"/><Relationship Id="rId55" Type="http://schemas.openxmlformats.org/officeDocument/2006/relationships/hyperlink" Target="https://www.idtdna.com/pages/products/next-generation-sequencing/workflow/xgen-ngs-library-preparation/ngs-adapters-indexing-primers/xgen-for-ultima-genomics" TargetMode="External"/><Relationship Id="rId56" Type="http://schemas.openxmlformats.org/officeDocument/2006/relationships/hyperlink" Target="https://www.idtdna.com/pages/products/next-generation-sequencing/workflow/xgen-ngs-library-preparation/ngs-adapters-indexing-primers/xgen-for-ultima-genomics" TargetMode="External"/><Relationship Id="rId57" Type="http://schemas.openxmlformats.org/officeDocument/2006/relationships/hyperlink" Target="https://www.idtdna.com/pages/products/next-generation-sequencing/workflow/xgen-ngs-library-preparation/ngs-adapters-indexing-primers/xgen-for-ultima-genomics" TargetMode="External"/><Relationship Id="rId58" Type="http://schemas.openxmlformats.org/officeDocument/2006/relationships/hyperlink" Target="https://www.idtdna.com/pages/products/next-generation-sequencing/workflow/xgen-ngs-library-preparation/ngs-adapters-indexing-primers/xgen-for-ultima-genomics" TargetMode="External"/><Relationship Id="rId59" Type="http://schemas.openxmlformats.org/officeDocument/2006/relationships/hyperlink" Target="https://www.idtdna.com/pages/products/next-generation-sequencing/workflow/xgen-ngs-library-preparation/ngs-adapters-indexing-primers/xgen-for-ultima-genomics" TargetMode="External"/><Relationship Id="rId60" Type="http://schemas.openxmlformats.org/officeDocument/2006/relationships/drawing" Target="../drawings/drawing1.xml"/><Relationship Id="rId61"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hyperlink" Target="https://console.cloud.google.com/storage/browser/gcp-public-data--broad-references"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13"/>
  <sheetViews>
    <sheetView showFormulas="false" showGridLines="true" showRowColHeaders="true" showZeros="true" rightToLeft="false" tabSelected="true" showOutlineSymbols="true" defaultGridColor="true" view="normal" topLeftCell="A1" colorId="64" zoomScale="69" zoomScaleNormal="69" zoomScalePageLayoutView="100" workbookViewId="0">
      <selection pane="topLeft" activeCell="L25" activeCellId="0" sqref="L25"/>
    </sheetView>
  </sheetViews>
  <sheetFormatPr defaultRowHeight="14.5" zeroHeight="false" outlineLevelRow="0" outlineLevelCol="0"/>
  <cols>
    <col collapsed="false" customWidth="true" hidden="false" outlineLevel="0" max="1" min="1" style="0" width="14.36"/>
    <col collapsed="false" customWidth="true" hidden="false" outlineLevel="0" max="2" min="2" style="0" width="23"/>
    <col collapsed="false" customWidth="true" hidden="false" outlineLevel="0" max="3" min="3" style="0" width="27.42"/>
    <col collapsed="false" customWidth="true" hidden="false" outlineLevel="0" max="4" min="4" style="0" width="22.55"/>
    <col collapsed="false" customWidth="true" hidden="false" outlineLevel="0" max="5" min="5" style="0" width="15.17"/>
    <col collapsed="false" customWidth="true" hidden="false" outlineLevel="0" max="6" min="6" style="0" width="26.09"/>
    <col collapsed="false" customWidth="true" hidden="false" outlineLevel="0" max="7" min="7" style="0" width="15.17"/>
    <col collapsed="false" customWidth="true" hidden="false" outlineLevel="0" max="8" min="8" style="0" width="20.72"/>
    <col collapsed="false" customWidth="true" hidden="false" outlineLevel="0" max="9" min="9" style="0" width="18.37"/>
    <col collapsed="false" customWidth="true" hidden="true" outlineLevel="0" max="10" min="10" style="0" width="19.63"/>
    <col collapsed="false" customWidth="true" hidden="true" outlineLevel="0" max="11" min="11" style="0" width="15.09"/>
    <col collapsed="false" customWidth="true" hidden="false" outlineLevel="0" max="12" min="12" style="0" width="18.37"/>
    <col collapsed="false" customWidth="true" hidden="false" outlineLevel="0" max="13" min="13" style="0" width="12"/>
    <col collapsed="false" customWidth="true" hidden="false" outlineLevel="0" max="14" min="14" style="0" width="20"/>
    <col collapsed="false" customWidth="true" hidden="false" outlineLevel="0" max="15" min="15" style="0" width="21.55"/>
    <col collapsed="false" customWidth="true" hidden="false" outlineLevel="0" max="16" min="16" style="0" width="13.45"/>
    <col collapsed="false" customWidth="true" hidden="false" outlineLevel="0" max="17" min="17" style="0" width="11"/>
    <col collapsed="false" customWidth="true" hidden="false" outlineLevel="0" max="18" min="18" style="0" width="13.09"/>
    <col collapsed="false" customWidth="true" hidden="false" outlineLevel="0" max="19" min="19" style="0" width="12.82"/>
    <col collapsed="false" customWidth="true" hidden="false" outlineLevel="0" max="20" min="20" style="0" width="26.54"/>
    <col collapsed="false" customWidth="true" hidden="false" outlineLevel="0" max="1025" min="21" style="0" width="8.72"/>
  </cols>
  <sheetData>
    <row r="1" s="3" customFormat="true" ht="129.5" hidden="false" customHeight="true" outlineLevel="0" collapsed="false">
      <c r="A1" s="1" t="s">
        <v>0</v>
      </c>
      <c r="B1" s="1" t="s">
        <v>1</v>
      </c>
      <c r="C1" s="1"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1" t="s">
        <v>19</v>
      </c>
    </row>
    <row r="2" customFormat="false" ht="15" hidden="false" customHeight="false" outlineLevel="0" collapsed="false">
      <c r="A2" s="4" t="s">
        <v>20</v>
      </c>
      <c r="B2" s="4" t="s">
        <v>20</v>
      </c>
      <c r="C2" s="5" t="s">
        <v>21</v>
      </c>
      <c r="D2" s="0" t="s">
        <v>22</v>
      </c>
      <c r="G2" s="0" t="s">
        <v>23</v>
      </c>
      <c r="H2" s="0" t="s">
        <v>24</v>
      </c>
      <c r="I2" s="6" t="s">
        <v>25</v>
      </c>
      <c r="L2" s="0" t="n">
        <v>900</v>
      </c>
      <c r="M2" s="0" t="s">
        <v>26</v>
      </c>
      <c r="N2" s="0" t="n">
        <v>1</v>
      </c>
      <c r="O2" s="6" t="s">
        <v>27</v>
      </c>
      <c r="P2" s="0" t="n">
        <v>10.7</v>
      </c>
      <c r="Q2" s="0" t="n">
        <v>30</v>
      </c>
      <c r="T2" s="4" t="s">
        <v>28</v>
      </c>
    </row>
    <row r="3" customFormat="false" ht="15" hidden="false" customHeight="false" outlineLevel="0" collapsed="false">
      <c r="A3" s="4" t="s">
        <v>29</v>
      </c>
      <c r="B3" s="4" t="s">
        <v>29</v>
      </c>
      <c r="C3" s="5" t="s">
        <v>30</v>
      </c>
      <c r="D3" s="0" t="s">
        <v>22</v>
      </c>
      <c r="G3" s="0" t="s">
        <v>23</v>
      </c>
      <c r="H3" s="6" t="s">
        <v>24</v>
      </c>
      <c r="I3" s="6" t="s">
        <v>25</v>
      </c>
      <c r="L3" s="0" t="n">
        <v>900</v>
      </c>
      <c r="M3" s="0" t="s">
        <v>26</v>
      </c>
      <c r="N3" s="0" t="n">
        <v>1</v>
      </c>
      <c r="O3" s="6" t="s">
        <v>27</v>
      </c>
      <c r="P3" s="0" t="n">
        <v>12.9</v>
      </c>
      <c r="Q3" s="0" t="n">
        <v>30</v>
      </c>
      <c r="T3" s="4" t="s">
        <v>31</v>
      </c>
    </row>
    <row r="4" customFormat="false" ht="15" hidden="false" customHeight="false" outlineLevel="0" collapsed="false">
      <c r="A4" s="4" t="s">
        <v>32</v>
      </c>
      <c r="B4" s="4" t="s">
        <v>32</v>
      </c>
      <c r="C4" s="5" t="s">
        <v>33</v>
      </c>
      <c r="D4" s="0" t="s">
        <v>22</v>
      </c>
      <c r="G4" s="0" t="s">
        <v>23</v>
      </c>
      <c r="H4" s="6" t="s">
        <v>24</v>
      </c>
      <c r="I4" s="6" t="s">
        <v>25</v>
      </c>
      <c r="L4" s="0" t="n">
        <v>900</v>
      </c>
      <c r="M4" s="0" t="s">
        <v>26</v>
      </c>
      <c r="N4" s="0" t="n">
        <v>1</v>
      </c>
      <c r="O4" s="6" t="s">
        <v>27</v>
      </c>
      <c r="P4" s="0" t="n">
        <v>12</v>
      </c>
      <c r="Q4" s="0" t="n">
        <v>30</v>
      </c>
      <c r="T4" s="4" t="s">
        <v>34</v>
      </c>
    </row>
    <row r="5" customFormat="false" ht="15" hidden="false" customHeight="false" outlineLevel="0" collapsed="false">
      <c r="A5" s="4" t="s">
        <v>35</v>
      </c>
      <c r="B5" s="4" t="s">
        <v>35</v>
      </c>
      <c r="C5" s="5" t="s">
        <v>36</v>
      </c>
      <c r="D5" s="0" t="s">
        <v>22</v>
      </c>
      <c r="G5" s="0" t="s">
        <v>23</v>
      </c>
      <c r="H5" s="6" t="s">
        <v>24</v>
      </c>
      <c r="I5" s="6" t="s">
        <v>25</v>
      </c>
      <c r="L5" s="0" t="n">
        <v>900</v>
      </c>
      <c r="M5" s="0" t="s">
        <v>26</v>
      </c>
      <c r="N5" s="0" t="n">
        <v>1</v>
      </c>
      <c r="O5" s="6" t="s">
        <v>27</v>
      </c>
      <c r="P5" s="0" t="n">
        <v>15.4</v>
      </c>
      <c r="Q5" s="0" t="n">
        <v>30</v>
      </c>
      <c r="T5" s="4" t="s">
        <v>37</v>
      </c>
    </row>
    <row r="6" customFormat="false" ht="15" hidden="false" customHeight="false" outlineLevel="0" collapsed="false">
      <c r="A6" s="4" t="s">
        <v>38</v>
      </c>
      <c r="B6" s="4" t="s">
        <v>38</v>
      </c>
      <c r="C6" s="5" t="s">
        <v>39</v>
      </c>
      <c r="D6" s="0" t="s">
        <v>22</v>
      </c>
      <c r="G6" s="0" t="s">
        <v>23</v>
      </c>
      <c r="H6" s="6" t="s">
        <v>24</v>
      </c>
      <c r="I6" s="6" t="s">
        <v>25</v>
      </c>
      <c r="L6" s="0" t="n">
        <v>900</v>
      </c>
      <c r="M6" s="0" t="s">
        <v>26</v>
      </c>
      <c r="N6" s="0" t="n">
        <v>1</v>
      </c>
      <c r="O6" s="6" t="s">
        <v>27</v>
      </c>
      <c r="P6" s="0" t="n">
        <v>5.8</v>
      </c>
      <c r="Q6" s="0" t="n">
        <v>30</v>
      </c>
      <c r="T6" s="4" t="s">
        <v>40</v>
      </c>
    </row>
    <row r="7" customFormat="false" ht="15" hidden="false" customHeight="false" outlineLevel="0" collapsed="false">
      <c r="A7" s="4" t="s">
        <v>41</v>
      </c>
      <c r="B7" s="4" t="s">
        <v>41</v>
      </c>
      <c r="C7" s="5" t="s">
        <v>42</v>
      </c>
      <c r="D7" s="0" t="s">
        <v>22</v>
      </c>
      <c r="G7" s="0" t="s">
        <v>23</v>
      </c>
      <c r="H7" s="6" t="s">
        <v>24</v>
      </c>
      <c r="I7" s="6" t="s">
        <v>25</v>
      </c>
      <c r="L7" s="0" t="n">
        <v>900</v>
      </c>
      <c r="M7" s="0" t="s">
        <v>26</v>
      </c>
      <c r="N7" s="0" t="n">
        <v>1</v>
      </c>
      <c r="O7" s="6" t="s">
        <v>27</v>
      </c>
      <c r="P7" s="0" t="n">
        <v>12.5</v>
      </c>
      <c r="Q7" s="0" t="n">
        <v>30</v>
      </c>
      <c r="T7" s="4" t="s">
        <v>43</v>
      </c>
    </row>
    <row r="8" customFormat="false" ht="15" hidden="false" customHeight="false" outlineLevel="0" collapsed="false">
      <c r="A8" s="4" t="s">
        <v>44</v>
      </c>
      <c r="B8" s="4" t="s">
        <v>44</v>
      </c>
      <c r="C8" s="5" t="s">
        <v>45</v>
      </c>
      <c r="D8" s="0" t="s">
        <v>22</v>
      </c>
      <c r="G8" s="0" t="s">
        <v>23</v>
      </c>
      <c r="H8" s="6" t="s">
        <v>24</v>
      </c>
      <c r="I8" s="6" t="s">
        <v>25</v>
      </c>
      <c r="L8" s="0" t="n">
        <v>900</v>
      </c>
      <c r="M8" s="0" t="s">
        <v>26</v>
      </c>
      <c r="N8" s="0" t="n">
        <v>1</v>
      </c>
      <c r="O8" s="6" t="s">
        <v>27</v>
      </c>
      <c r="P8" s="0" t="n">
        <v>12.5</v>
      </c>
      <c r="Q8" s="0" t="n">
        <v>30</v>
      </c>
      <c r="T8" s="4" t="s">
        <v>46</v>
      </c>
    </row>
    <row r="9" customFormat="false" ht="15" hidden="false" customHeight="false" outlineLevel="0" collapsed="false">
      <c r="A9" s="4" t="s">
        <v>47</v>
      </c>
      <c r="B9" s="4" t="s">
        <v>47</v>
      </c>
      <c r="C9" s="5" t="s">
        <v>48</v>
      </c>
      <c r="D9" s="0" t="s">
        <v>22</v>
      </c>
      <c r="G9" s="0" t="s">
        <v>23</v>
      </c>
      <c r="H9" s="6" t="s">
        <v>24</v>
      </c>
      <c r="I9" s="6" t="s">
        <v>25</v>
      </c>
      <c r="L9" s="0" t="n">
        <v>900</v>
      </c>
      <c r="M9" s="0" t="s">
        <v>26</v>
      </c>
      <c r="N9" s="0" t="n">
        <v>1</v>
      </c>
      <c r="O9" s="6" t="s">
        <v>27</v>
      </c>
      <c r="P9" s="0" t="n">
        <v>15.7</v>
      </c>
      <c r="Q9" s="0" t="n">
        <v>30</v>
      </c>
      <c r="T9" s="4" t="s">
        <v>49</v>
      </c>
    </row>
    <row r="10" customFormat="false" ht="15" hidden="false" customHeight="false" outlineLevel="0" collapsed="false">
      <c r="A10" s="4" t="s">
        <v>50</v>
      </c>
      <c r="B10" s="4" t="s">
        <v>50</v>
      </c>
      <c r="C10" s="5" t="s">
        <v>51</v>
      </c>
      <c r="D10" s="0" t="s">
        <v>22</v>
      </c>
      <c r="G10" s="0" t="s">
        <v>23</v>
      </c>
      <c r="H10" s="6" t="s">
        <v>24</v>
      </c>
      <c r="I10" s="6" t="s">
        <v>25</v>
      </c>
      <c r="L10" s="0" t="n">
        <v>900</v>
      </c>
      <c r="M10" s="0" t="s">
        <v>26</v>
      </c>
      <c r="N10" s="0" t="n">
        <v>1</v>
      </c>
      <c r="O10" s="6" t="s">
        <v>27</v>
      </c>
      <c r="P10" s="0" t="n">
        <v>12</v>
      </c>
      <c r="Q10" s="0" t="n">
        <v>30</v>
      </c>
      <c r="T10" s="4" t="s">
        <v>52</v>
      </c>
    </row>
    <row r="11" customFormat="false" ht="15" hidden="false" customHeight="false" outlineLevel="0" collapsed="false">
      <c r="A11" s="4" t="s">
        <v>53</v>
      </c>
      <c r="B11" s="4" t="s">
        <v>53</v>
      </c>
      <c r="C11" s="5" t="s">
        <v>54</v>
      </c>
      <c r="D11" s="0" t="s">
        <v>22</v>
      </c>
      <c r="G11" s="0" t="s">
        <v>23</v>
      </c>
      <c r="H11" s="6" t="s">
        <v>24</v>
      </c>
      <c r="I11" s="6" t="s">
        <v>25</v>
      </c>
      <c r="L11" s="0" t="n">
        <v>900</v>
      </c>
      <c r="M11" s="0" t="s">
        <v>26</v>
      </c>
      <c r="N11" s="0" t="n">
        <v>1</v>
      </c>
      <c r="O11" s="6" t="s">
        <v>27</v>
      </c>
      <c r="P11" s="0" t="n">
        <v>12.5</v>
      </c>
      <c r="Q11" s="0" t="n">
        <v>30</v>
      </c>
      <c r="T11" s="4" t="s">
        <v>55</v>
      </c>
    </row>
    <row r="12" customFormat="false" ht="15" hidden="false" customHeight="false" outlineLevel="0" collapsed="false">
      <c r="A12" s="4" t="s">
        <v>56</v>
      </c>
      <c r="B12" s="4" t="s">
        <v>56</v>
      </c>
      <c r="C12" s="5" t="s">
        <v>57</v>
      </c>
      <c r="D12" s="0" t="s">
        <v>22</v>
      </c>
      <c r="G12" s="0" t="s">
        <v>23</v>
      </c>
      <c r="H12" s="6" t="s">
        <v>24</v>
      </c>
      <c r="I12" s="6" t="s">
        <v>25</v>
      </c>
      <c r="L12" s="0" t="n">
        <v>900</v>
      </c>
      <c r="M12" s="0" t="s">
        <v>26</v>
      </c>
      <c r="N12" s="0" t="n">
        <v>1</v>
      </c>
      <c r="O12" s="6" t="s">
        <v>27</v>
      </c>
      <c r="P12" s="0" t="n">
        <v>12.3</v>
      </c>
      <c r="Q12" s="0" t="n">
        <v>30</v>
      </c>
      <c r="T12" s="4" t="s">
        <v>58</v>
      </c>
    </row>
    <row r="13" customFormat="false" ht="13.8" hidden="false" customHeight="false" outlineLevel="0" collapsed="false"/>
  </sheetData>
  <dataValidations count="7">
    <dataValidation allowBlank="true" operator="between" showDropDown="false" showErrorMessage="true" showInputMessage="true" sqref="A1 I1" type="none">
      <formula1>0</formula1>
      <formula2>0</formula2>
    </dataValidation>
    <dataValidation allowBlank="true" error="Index sequences CANNOT be added when the Data Delivery Method selected with Lane sequencing-Without Demultiplexing or BCL file Only." errorTitle="Tips" operator="between" showDropDown="false" showErrorMessage="true" showInputMessage="true" sqref="C1" type="custom">
      <formula1>IF(AND(OR(#ref!="Lane sequencing-Without Demultiplexing",#ref!="Lane sequencing-BCL File Only",#ref!="PE adaptor"),LEN(C1)&gt;0),0,1)</formula1>
      <formula2>0</formula2>
    </dataValidation>
    <dataValidation allowBlank="true" error="Index sequences CANNOT be added when the Data Delivery Method selected with Lane sequencing-Without Demultiplexing or BCL file Only." errorTitle="Tips" operator="between" showDropDown="false" showErrorMessage="true" showInputMessage="true" sqref="J1:J12" type="custom">
      <formula1>IF(AND(OR(I1="Lane sequencing-Without Demultiplexing",I1="Lane sequencing-BCL File Only",I1="PE adaptor"),LEN(J1)&gt;0),0,1)</formula1>
      <formula2>0</formula2>
    </dataValidation>
    <dataValidation allowBlank="true" operator="between" showDropDown="false" showErrorMessage="true" showInputMessage="true" sqref="G2:G12" type="list">
      <formula1>appendix!$D$12:$D$16</formula1>
      <formula2>0</formula2>
    </dataValidation>
    <dataValidation allowBlank="true" operator="between" showDropDown="false" showErrorMessage="true" showInputMessage="true" sqref="M2:M12" type="list">
      <formula1>appendix!$J$2</formula1>
      <formula2>0</formula2>
    </dataValidation>
    <dataValidation allowBlank="true" operator="between" showDropDown="false" showErrorMessage="true" showInputMessage="true" sqref="I2:I12" type="list">
      <formula1>'Application Process'!$E$1:$E$9</formula1>
      <formula2>0</formula2>
    </dataValidation>
    <dataValidation allowBlank="true" operator="between" showDropDown="false" showErrorMessage="true" showInputMessage="true" sqref="O2:O12" type="list">
      <formula1>"dry powder,other"</formula1>
      <formula2>0</formula2>
    </dataValidation>
  </dataValidations>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sheetPr filterMode="true">
    <pageSetUpPr fitToPage="false"/>
  </sheetPr>
  <dimension ref="A1:Q41"/>
  <sheetViews>
    <sheetView showFormulas="false" showGridLines="true" showRowColHeaders="true" showZeros="true" rightToLeft="false" tabSelected="false" showOutlineSymbols="true" defaultGridColor="true" view="normal" topLeftCell="A1" colorId="64" zoomScale="69" zoomScaleNormal="69" zoomScalePageLayoutView="100" workbookViewId="0">
      <pane xSplit="0" ySplit="1" topLeftCell="A2" activePane="bottomLeft" state="frozen"/>
      <selection pane="topLeft" activeCell="A1" activeCellId="0" sqref="A1"/>
      <selection pane="bottomLeft" activeCell="K23" activeCellId="0" sqref="K23"/>
    </sheetView>
  </sheetViews>
  <sheetFormatPr defaultRowHeight="14.5" zeroHeight="false" outlineLevelRow="0" outlineLevelCol="0"/>
  <cols>
    <col collapsed="false" customWidth="true" hidden="false" outlineLevel="0" max="1" min="1" style="7" width="34.91"/>
    <col collapsed="false" customWidth="true" hidden="true" outlineLevel="0" max="2" min="2" style="8" width="13.45"/>
    <col collapsed="false" customWidth="true" hidden="false" outlineLevel="0" max="3" min="3" style="8" width="21.45"/>
    <col collapsed="false" customWidth="true" hidden="false" outlineLevel="0" max="4" min="4" style="8" width="8.64"/>
    <col collapsed="false" customWidth="true" hidden="false" outlineLevel="0" max="5" min="5" style="8" width="14.09"/>
    <col collapsed="false" customWidth="true" hidden="false" outlineLevel="0" max="6" min="6" style="8" width="8.18"/>
    <col collapsed="false" customWidth="true" hidden="false" outlineLevel="0" max="7" min="7" style="7" width="14.45"/>
    <col collapsed="false" customWidth="true" hidden="false" outlineLevel="0" max="8" min="8" style="8" width="15.63"/>
    <col collapsed="false" customWidth="true" hidden="false" outlineLevel="0" max="9" min="9" style="8" width="25.63"/>
    <col collapsed="false" customWidth="true" hidden="false" outlineLevel="0" max="10" min="10" style="8" width="9"/>
    <col collapsed="false" customWidth="true" hidden="false" outlineLevel="0" max="11" min="11" style="8" width="14.72"/>
    <col collapsed="false" customWidth="true" hidden="false" outlineLevel="0" max="12" min="12" style="8" width="41.27"/>
    <col collapsed="false" customWidth="true" hidden="false" outlineLevel="0" max="13" min="13" style="8" width="10"/>
    <col collapsed="false" customWidth="true" hidden="false" outlineLevel="0" max="14" min="14" style="8" width="14.09"/>
    <col collapsed="false" customWidth="true" hidden="false" outlineLevel="0" max="15" min="15" style="8" width="15"/>
    <col collapsed="false" customWidth="true" hidden="false" outlineLevel="0" max="16" min="16" style="8" width="26.54"/>
    <col collapsed="false" customWidth="true" hidden="false" outlineLevel="0" max="1025" min="17" style="8" width="9"/>
  </cols>
  <sheetData>
    <row r="1" s="9" customFormat="true" ht="72.5" hidden="false" customHeight="false" outlineLevel="0" collapsed="false">
      <c r="A1" s="9" t="s">
        <v>59</v>
      </c>
      <c r="B1" s="9" t="s">
        <v>60</v>
      </c>
      <c r="C1" s="9" t="s">
        <v>61</v>
      </c>
      <c r="D1" s="9" t="s">
        <v>62</v>
      </c>
      <c r="E1" s="9" t="s">
        <v>63</v>
      </c>
      <c r="F1" s="9" t="s">
        <v>64</v>
      </c>
      <c r="G1" s="9" t="s">
        <v>65</v>
      </c>
      <c r="H1" s="9" t="s">
        <v>66</v>
      </c>
      <c r="I1" s="9" t="s">
        <v>67</v>
      </c>
      <c r="J1" s="10" t="s">
        <v>68</v>
      </c>
      <c r="K1" s="9" t="s">
        <v>69</v>
      </c>
      <c r="L1" s="9" t="s">
        <v>70</v>
      </c>
      <c r="M1" s="9" t="s">
        <v>71</v>
      </c>
      <c r="N1" s="9" t="s">
        <v>72</v>
      </c>
      <c r="O1" s="9" t="s">
        <v>73</v>
      </c>
      <c r="P1" s="9" t="s">
        <v>74</v>
      </c>
      <c r="Q1" s="9" t="s">
        <v>75</v>
      </c>
    </row>
    <row r="2" customFormat="false" ht="14.5" hidden="false" customHeight="false" outlineLevel="0" collapsed="false">
      <c r="A2" s="7" t="s">
        <v>76</v>
      </c>
      <c r="C2" s="8" t="s">
        <v>77</v>
      </c>
      <c r="D2" s="8" t="s">
        <v>78</v>
      </c>
      <c r="G2" s="7" t="s">
        <v>79</v>
      </c>
      <c r="H2" s="8" t="s">
        <v>80</v>
      </c>
      <c r="I2" s="8" t="s">
        <v>81</v>
      </c>
      <c r="J2" s="8" t="s">
        <v>82</v>
      </c>
      <c r="K2" s="8" t="s">
        <v>83</v>
      </c>
      <c r="L2" s="8" t="s">
        <v>84</v>
      </c>
      <c r="M2" s="8" t="s">
        <v>85</v>
      </c>
      <c r="N2" s="8" t="s">
        <v>86</v>
      </c>
      <c r="O2" s="8" t="s">
        <v>86</v>
      </c>
      <c r="P2" s="8" t="e">
        <f aca="false">_xlfn.dispimg("ID_97ADF3389C144AA1AD3E613934874898",1)</f>
        <v>#NAME?</v>
      </c>
    </row>
    <row r="3" customFormat="false" ht="29" hidden="false" customHeight="false" outlineLevel="0" collapsed="false">
      <c r="A3" s="7" t="s">
        <v>87</v>
      </c>
      <c r="C3" s="8" t="s">
        <v>88</v>
      </c>
      <c r="D3" s="8" t="s">
        <v>78</v>
      </c>
      <c r="G3" s="7" t="s">
        <v>89</v>
      </c>
      <c r="H3" s="8" t="s">
        <v>80</v>
      </c>
      <c r="I3" s="8" t="s">
        <v>88</v>
      </c>
      <c r="K3" s="8" t="s">
        <v>83</v>
      </c>
      <c r="L3" s="8" t="s">
        <v>84</v>
      </c>
      <c r="M3" s="8" t="s">
        <v>90</v>
      </c>
      <c r="N3" s="8" t="s">
        <v>86</v>
      </c>
      <c r="O3" s="8" t="s">
        <v>86</v>
      </c>
    </row>
    <row r="4" customFormat="false" ht="14.5" hidden="false" customHeight="false" outlineLevel="0" collapsed="false">
      <c r="C4" s="8" t="s">
        <v>91</v>
      </c>
      <c r="D4" s="8" t="s">
        <v>78</v>
      </c>
      <c r="H4" s="8" t="s">
        <v>80</v>
      </c>
      <c r="I4" s="8" t="s">
        <v>92</v>
      </c>
      <c r="K4" s="8" t="s">
        <v>83</v>
      </c>
      <c r="L4" s="8" t="s">
        <v>84</v>
      </c>
      <c r="M4" s="8" t="s">
        <v>90</v>
      </c>
      <c r="N4" s="8" t="s">
        <v>86</v>
      </c>
      <c r="O4" s="8" t="s">
        <v>78</v>
      </c>
    </row>
    <row r="5" customFormat="false" ht="29" hidden="true" customHeight="false" outlineLevel="0" collapsed="false">
      <c r="A5" s="7" t="s">
        <v>93</v>
      </c>
      <c r="B5" s="8" t="s">
        <v>94</v>
      </c>
      <c r="C5" s="8" t="s">
        <v>95</v>
      </c>
      <c r="D5" s="8" t="s">
        <v>86</v>
      </c>
      <c r="E5" s="8" t="s">
        <v>96</v>
      </c>
      <c r="F5" s="8" t="s">
        <v>97</v>
      </c>
      <c r="G5" s="7" t="s">
        <v>98</v>
      </c>
      <c r="H5" s="8" t="s">
        <v>80</v>
      </c>
      <c r="I5" s="8" t="s">
        <v>99</v>
      </c>
      <c r="K5" s="8" t="s">
        <v>100</v>
      </c>
      <c r="M5" s="8" t="s">
        <v>90</v>
      </c>
      <c r="N5" s="8" t="s">
        <v>101</v>
      </c>
      <c r="O5" s="8" t="s">
        <v>78</v>
      </c>
      <c r="P5" s="8" t="e">
        <f aca="false">_xlfn.dispimg("ID_AB7EE81E8ABC452B8AA8CCDDFCE84928",1)</f>
        <v>#NAME?</v>
      </c>
    </row>
    <row r="6" customFormat="false" ht="43.5" hidden="false" customHeight="false" outlineLevel="0" collapsed="false">
      <c r="A6" s="11" t="s">
        <v>102</v>
      </c>
      <c r="C6" s="8" t="s">
        <v>103</v>
      </c>
      <c r="D6" s="8" t="s">
        <v>86</v>
      </c>
      <c r="E6" s="12" t="s">
        <v>104</v>
      </c>
      <c r="F6" s="12" t="s">
        <v>105</v>
      </c>
      <c r="G6" s="7" t="s">
        <v>106</v>
      </c>
      <c r="H6" s="8" t="s">
        <v>107</v>
      </c>
      <c r="I6" s="8" t="s">
        <v>108</v>
      </c>
      <c r="J6" s="13" t="s">
        <v>109</v>
      </c>
      <c r="K6" s="8" t="s">
        <v>100</v>
      </c>
      <c r="L6" s="13" t="s">
        <v>110</v>
      </c>
      <c r="M6" s="8" t="s">
        <v>90</v>
      </c>
      <c r="N6" s="8" t="s">
        <v>86</v>
      </c>
      <c r="O6" s="8" t="s">
        <v>86</v>
      </c>
      <c r="P6" s="8" t="e">
        <f aca="false">_xlfn.dispimg("ID_E57715F520EB4DC1BB653731BBC61D76",1)</f>
        <v>#NAME?</v>
      </c>
    </row>
    <row r="7" customFormat="false" ht="43.5" hidden="false" customHeight="false" outlineLevel="0" collapsed="false">
      <c r="A7" s="11" t="s">
        <v>111</v>
      </c>
      <c r="C7" s="8" t="s">
        <v>112</v>
      </c>
      <c r="D7" s="8" t="s">
        <v>86</v>
      </c>
      <c r="E7" s="12" t="s">
        <v>104</v>
      </c>
      <c r="F7" s="12" t="s">
        <v>105</v>
      </c>
      <c r="G7" s="7" t="s">
        <v>106</v>
      </c>
      <c r="H7" s="8" t="s">
        <v>107</v>
      </c>
      <c r="I7" s="8" t="s">
        <v>113</v>
      </c>
      <c r="K7" s="8" t="s">
        <v>100</v>
      </c>
      <c r="L7" s="13" t="s">
        <v>110</v>
      </c>
      <c r="M7" s="8" t="s">
        <v>90</v>
      </c>
      <c r="N7" s="8" t="s">
        <v>86</v>
      </c>
      <c r="O7" s="8" t="s">
        <v>86</v>
      </c>
      <c r="P7" s="8" t="e">
        <f aca="false">_xlfn.dispimg("ID_D987AD2A914941B99C28E8566A7DEE46",1)</f>
        <v>#NAME?</v>
      </c>
    </row>
    <row r="8" customFormat="false" ht="43.5" hidden="true" customHeight="false" outlineLevel="0" collapsed="false">
      <c r="A8" s="11" t="s">
        <v>114</v>
      </c>
      <c r="C8" s="8" t="s">
        <v>115</v>
      </c>
      <c r="D8" s="8" t="s">
        <v>86</v>
      </c>
      <c r="E8" s="12" t="s">
        <v>104</v>
      </c>
      <c r="F8" s="12" t="s">
        <v>105</v>
      </c>
      <c r="G8" s="7" t="s">
        <v>106</v>
      </c>
      <c r="H8" s="8" t="s">
        <v>80</v>
      </c>
      <c r="I8" s="8" t="s">
        <v>116</v>
      </c>
      <c r="J8" s="8" t="s">
        <v>117</v>
      </c>
      <c r="K8" s="8" t="s">
        <v>100</v>
      </c>
      <c r="M8" s="8" t="s">
        <v>90</v>
      </c>
      <c r="N8" s="8" t="s">
        <v>86</v>
      </c>
      <c r="P8" s="8" t="e">
        <f aca="false">_xlfn.dispimg("ID_BE60660593F54A7187B004C2A0CFE697",1)</f>
        <v>#NAME?</v>
      </c>
    </row>
    <row r="9" customFormat="false" ht="43.5" hidden="true" customHeight="false" outlineLevel="0" collapsed="false">
      <c r="A9" s="14" t="s">
        <v>118</v>
      </c>
      <c r="C9" s="8" t="s">
        <v>119</v>
      </c>
      <c r="D9" s="8" t="s">
        <v>86</v>
      </c>
      <c r="E9" s="12" t="s">
        <v>104</v>
      </c>
      <c r="F9" s="12" t="s">
        <v>105</v>
      </c>
      <c r="G9" s="7" t="s">
        <v>106</v>
      </c>
      <c r="H9" s="8" t="s">
        <v>80</v>
      </c>
      <c r="I9" s="8" t="s">
        <v>120</v>
      </c>
      <c r="K9" s="8" t="s">
        <v>100</v>
      </c>
      <c r="M9" s="8" t="s">
        <v>90</v>
      </c>
      <c r="N9" s="8" t="s">
        <v>86</v>
      </c>
      <c r="P9" s="8" t="e">
        <f aca="false">_xlfn.dispimg("ID_672FA495D6B749B79C46457C2D03FAE5",1)</f>
        <v>#NAME?</v>
      </c>
    </row>
    <row r="10" customFormat="false" ht="43.5" hidden="true" customHeight="false" outlineLevel="0" collapsed="false">
      <c r="A10" s="11" t="s">
        <v>121</v>
      </c>
      <c r="C10" s="8" t="s">
        <v>122</v>
      </c>
      <c r="D10" s="8" t="s">
        <v>86</v>
      </c>
      <c r="E10" s="12" t="s">
        <v>104</v>
      </c>
      <c r="F10" s="12" t="s">
        <v>105</v>
      </c>
      <c r="G10" s="7" t="s">
        <v>106</v>
      </c>
      <c r="H10" s="8" t="s">
        <v>80</v>
      </c>
      <c r="I10" s="8" t="s">
        <v>123</v>
      </c>
      <c r="K10" s="8" t="s">
        <v>100</v>
      </c>
      <c r="M10" s="8" t="s">
        <v>90</v>
      </c>
      <c r="N10" s="8" t="s">
        <v>86</v>
      </c>
      <c r="P10" s="8" t="e">
        <f aca="false">_xlfn.dispimg("ID_B198C3BA39C5462AB9D2AF9F44BC346C",1)</f>
        <v>#NAME?</v>
      </c>
    </row>
    <row r="11" customFormat="false" ht="43.5" hidden="true" customHeight="false" outlineLevel="0" collapsed="false">
      <c r="A11" s="11" t="s">
        <v>124</v>
      </c>
      <c r="C11" s="8" t="s">
        <v>125</v>
      </c>
      <c r="D11" s="8" t="s">
        <v>86</v>
      </c>
      <c r="E11" s="12" t="s">
        <v>104</v>
      </c>
      <c r="F11" s="12" t="s">
        <v>126</v>
      </c>
      <c r="G11" s="7" t="s">
        <v>106</v>
      </c>
      <c r="H11" s="8" t="s">
        <v>127</v>
      </c>
      <c r="I11" s="8" t="s">
        <v>128</v>
      </c>
      <c r="J11" s="13" t="s">
        <v>129</v>
      </c>
      <c r="K11" s="8" t="s">
        <v>100</v>
      </c>
      <c r="M11" s="8" t="s">
        <v>90</v>
      </c>
      <c r="N11" s="8" t="s">
        <v>86</v>
      </c>
      <c r="P11" s="8" t="e">
        <f aca="false">_xlfn.dispimg("ID_E070B0FB63304E96A5EA082FE00C03B1",1)</f>
        <v>#NAME?</v>
      </c>
    </row>
    <row r="12" customFormat="false" ht="43.5" hidden="true" customHeight="false" outlineLevel="0" collapsed="false">
      <c r="A12" s="11" t="s">
        <v>130</v>
      </c>
      <c r="C12" s="8" t="s">
        <v>131</v>
      </c>
      <c r="D12" s="8" t="s">
        <v>86</v>
      </c>
      <c r="E12" s="12" t="s">
        <v>104</v>
      </c>
      <c r="F12" s="12" t="s">
        <v>105</v>
      </c>
      <c r="G12" s="7" t="s">
        <v>106</v>
      </c>
      <c r="H12" s="8" t="s">
        <v>127</v>
      </c>
      <c r="I12" s="8" t="s">
        <v>132</v>
      </c>
      <c r="J12" s="13" t="s">
        <v>133</v>
      </c>
      <c r="K12" s="8" t="s">
        <v>100</v>
      </c>
      <c r="M12" s="8" t="s">
        <v>90</v>
      </c>
      <c r="N12" s="8" t="s">
        <v>86</v>
      </c>
      <c r="P12" s="8" t="e">
        <f aca="false">_xlfn.dispimg("ID_CD8FBBCA9B5941DFA0C45FB543B8E868",1)</f>
        <v>#NAME?</v>
      </c>
    </row>
    <row r="13" customFormat="false" ht="43.5" hidden="true" customHeight="false" outlineLevel="0" collapsed="false">
      <c r="A13" s="11" t="s">
        <v>134</v>
      </c>
      <c r="C13" s="8" t="s">
        <v>135</v>
      </c>
      <c r="D13" s="8" t="s">
        <v>86</v>
      </c>
      <c r="E13" s="8" t="s">
        <v>136</v>
      </c>
      <c r="F13" s="8" t="s">
        <v>137</v>
      </c>
      <c r="G13" s="7" t="s">
        <v>106</v>
      </c>
      <c r="H13" s="8" t="s">
        <v>80</v>
      </c>
      <c r="I13" s="8" t="s">
        <v>138</v>
      </c>
      <c r="J13" s="13" t="s">
        <v>139</v>
      </c>
      <c r="K13" s="8" t="s">
        <v>100</v>
      </c>
      <c r="M13" s="8" t="s">
        <v>90</v>
      </c>
      <c r="N13" s="8" t="s">
        <v>86</v>
      </c>
      <c r="P13" s="8" t="e">
        <f aca="false">_xlfn.dispimg("ID_151B11D965BC4A2ABCA56169B96CCC11",1)</f>
        <v>#NAME?</v>
      </c>
    </row>
    <row r="14" customFormat="false" ht="72.5" hidden="true" customHeight="false" outlineLevel="0" collapsed="false">
      <c r="A14" s="11" t="s">
        <v>140</v>
      </c>
      <c r="C14" s="8" t="s">
        <v>141</v>
      </c>
      <c r="D14" s="8" t="s">
        <v>86</v>
      </c>
      <c r="E14" s="8" t="s">
        <v>142</v>
      </c>
      <c r="F14" s="8" t="s">
        <v>142</v>
      </c>
      <c r="G14" s="7" t="s">
        <v>106</v>
      </c>
      <c r="H14" s="7" t="s">
        <v>143</v>
      </c>
      <c r="I14" s="7" t="s">
        <v>144</v>
      </c>
      <c r="K14" s="8" t="s">
        <v>100</v>
      </c>
      <c r="M14" s="8" t="s">
        <v>90</v>
      </c>
      <c r="N14" s="8" t="s">
        <v>86</v>
      </c>
    </row>
    <row r="15" customFormat="false" ht="58" hidden="true" customHeight="false" outlineLevel="0" collapsed="false">
      <c r="A15" s="11" t="s">
        <v>145</v>
      </c>
      <c r="C15" s="8" t="s">
        <v>146</v>
      </c>
      <c r="D15" s="8" t="s">
        <v>86</v>
      </c>
      <c r="E15" s="12" t="s">
        <v>104</v>
      </c>
      <c r="F15" s="8" t="s">
        <v>147</v>
      </c>
      <c r="G15" s="7" t="s">
        <v>106</v>
      </c>
      <c r="H15" s="8" t="s">
        <v>80</v>
      </c>
      <c r="I15" s="7" t="s">
        <v>148</v>
      </c>
      <c r="J15" s="13" t="s">
        <v>149</v>
      </c>
      <c r="K15" s="8" t="s">
        <v>100</v>
      </c>
      <c r="M15" s="8" t="s">
        <v>90</v>
      </c>
      <c r="N15" s="8" t="s">
        <v>101</v>
      </c>
      <c r="P15" s="8" t="e">
        <f aca="false">_xlfn.dispimg("ID_6997FC0BDEF343358561D3DE6AE59B2B",1)</f>
        <v>#NAME?</v>
      </c>
    </row>
    <row r="16" customFormat="false" ht="58" hidden="true" customHeight="false" outlineLevel="0" collapsed="false">
      <c r="A16" s="11" t="s">
        <v>150</v>
      </c>
      <c r="C16" s="8" t="s">
        <v>151</v>
      </c>
      <c r="D16" s="8" t="s">
        <v>86</v>
      </c>
      <c r="E16" s="8" t="s">
        <v>147</v>
      </c>
      <c r="F16" s="12" t="s">
        <v>105</v>
      </c>
      <c r="G16" s="7" t="s">
        <v>106</v>
      </c>
      <c r="H16" s="8" t="s">
        <v>80</v>
      </c>
      <c r="I16" s="7" t="s">
        <v>152</v>
      </c>
      <c r="J16" s="13" t="s">
        <v>153</v>
      </c>
      <c r="K16" s="8" t="s">
        <v>100</v>
      </c>
      <c r="M16" s="8" t="s">
        <v>90</v>
      </c>
      <c r="N16" s="8" t="s">
        <v>101</v>
      </c>
      <c r="P16" s="8" t="e">
        <f aca="false">_xlfn.dispimg("ID_A0BC49349CB849F9816EB7BFF14B471B",1)</f>
        <v>#NAME?</v>
      </c>
    </row>
    <row r="17" customFormat="false" ht="43.5" hidden="false" customHeight="false" outlineLevel="0" collapsed="false">
      <c r="A17" s="14" t="s">
        <v>154</v>
      </c>
      <c r="C17" s="8" t="s">
        <v>155</v>
      </c>
      <c r="D17" s="8" t="s">
        <v>86</v>
      </c>
      <c r="E17" s="12" t="s">
        <v>104</v>
      </c>
      <c r="F17" s="12" t="s">
        <v>126</v>
      </c>
      <c r="G17" s="7" t="s">
        <v>106</v>
      </c>
      <c r="H17" s="8" t="s">
        <v>156</v>
      </c>
      <c r="I17" s="8" t="s">
        <v>157</v>
      </c>
      <c r="J17" s="13" t="s">
        <v>158</v>
      </c>
      <c r="K17" s="8" t="s">
        <v>100</v>
      </c>
      <c r="L17" s="13" t="s">
        <v>159</v>
      </c>
      <c r="M17" s="8" t="s">
        <v>90</v>
      </c>
      <c r="N17" s="8" t="s">
        <v>86</v>
      </c>
      <c r="P17" s="8" t="e">
        <f aca="false">_xlfn.dispimg("ID_101D4B3D798445D991B199B044F0C421",1)</f>
        <v>#NAME?</v>
      </c>
      <c r="Q17" s="8" t="s">
        <v>160</v>
      </c>
    </row>
    <row r="18" customFormat="false" ht="43.5" hidden="false" customHeight="false" outlineLevel="0" collapsed="false">
      <c r="C18" s="8" t="s">
        <v>161</v>
      </c>
      <c r="D18" s="8" t="s">
        <v>86</v>
      </c>
      <c r="E18" s="12" t="s">
        <v>104</v>
      </c>
      <c r="F18" s="12" t="s">
        <v>126</v>
      </c>
      <c r="G18" s="7" t="s">
        <v>106</v>
      </c>
      <c r="H18" s="8" t="s">
        <v>156</v>
      </c>
      <c r="I18" s="8" t="s">
        <v>162</v>
      </c>
      <c r="K18" s="8" t="s">
        <v>100</v>
      </c>
      <c r="L18" s="13" t="s">
        <v>159</v>
      </c>
      <c r="M18" s="8" t="s">
        <v>90</v>
      </c>
      <c r="N18" s="8" t="s">
        <v>86</v>
      </c>
      <c r="Q18" s="8" t="s">
        <v>160</v>
      </c>
    </row>
    <row r="19" customFormat="false" ht="43.5" hidden="false" customHeight="false" outlineLevel="0" collapsed="false">
      <c r="C19" s="8" t="s">
        <v>163</v>
      </c>
      <c r="D19" s="8" t="s">
        <v>86</v>
      </c>
      <c r="E19" s="12" t="s">
        <v>104</v>
      </c>
      <c r="F19" s="12" t="s">
        <v>126</v>
      </c>
      <c r="G19" s="7" t="s">
        <v>106</v>
      </c>
      <c r="H19" s="8" t="s">
        <v>156</v>
      </c>
      <c r="I19" s="8" t="s">
        <v>164</v>
      </c>
      <c r="K19" s="8" t="s">
        <v>100</v>
      </c>
      <c r="L19" s="13" t="s">
        <v>159</v>
      </c>
      <c r="M19" s="8" t="s">
        <v>90</v>
      </c>
      <c r="N19" s="8" t="s">
        <v>86</v>
      </c>
      <c r="Q19" s="8" t="s">
        <v>160</v>
      </c>
    </row>
    <row r="20" customFormat="false" ht="14.5" hidden="true" customHeight="false" outlineLevel="0" collapsed="false">
      <c r="C20" s="8" t="s">
        <v>165</v>
      </c>
      <c r="H20" s="8" t="s">
        <v>166</v>
      </c>
      <c r="I20" s="8" t="s">
        <v>167</v>
      </c>
      <c r="K20" s="8" t="s">
        <v>100</v>
      </c>
      <c r="M20" s="8" t="s">
        <v>90</v>
      </c>
      <c r="N20" s="8" t="s">
        <v>86</v>
      </c>
    </row>
    <row r="21" customFormat="false" ht="43.5" hidden="false" customHeight="false" outlineLevel="0" collapsed="false">
      <c r="A21" s="11" t="s">
        <v>168</v>
      </c>
      <c r="C21" s="8" t="s">
        <v>169</v>
      </c>
      <c r="D21" s="8" t="s">
        <v>86</v>
      </c>
      <c r="E21" s="8" t="s">
        <v>170</v>
      </c>
      <c r="F21" s="8" t="s">
        <v>171</v>
      </c>
      <c r="G21" s="7" t="s">
        <v>106</v>
      </c>
      <c r="H21" s="8" t="s">
        <v>172</v>
      </c>
      <c r="I21" s="8" t="s">
        <v>173</v>
      </c>
      <c r="J21" s="8" t="s">
        <v>174</v>
      </c>
      <c r="K21" s="8" t="s">
        <v>100</v>
      </c>
      <c r="L21" s="13" t="s">
        <v>175</v>
      </c>
      <c r="M21" s="8" t="s">
        <v>90</v>
      </c>
      <c r="N21" s="8" t="s">
        <v>86</v>
      </c>
      <c r="P21" s="8" t="e">
        <f aca="false">_xlfn.dispimg("ID_3E5350924C2A49B9B02FECF6A5906239",1)</f>
        <v>#NAME?</v>
      </c>
    </row>
    <row r="22" customFormat="false" ht="43.5" hidden="false" customHeight="false" outlineLevel="0" collapsed="false">
      <c r="A22" s="11" t="s">
        <v>176</v>
      </c>
      <c r="C22" s="8" t="s">
        <v>177</v>
      </c>
      <c r="D22" s="8" t="s">
        <v>86</v>
      </c>
      <c r="E22" s="8" t="s">
        <v>170</v>
      </c>
      <c r="F22" s="8" t="s">
        <v>171</v>
      </c>
      <c r="G22" s="7" t="s">
        <v>106</v>
      </c>
      <c r="H22" s="8" t="s">
        <v>178</v>
      </c>
      <c r="I22" s="8" t="s">
        <v>179</v>
      </c>
      <c r="J22" s="13" t="s">
        <v>180</v>
      </c>
      <c r="K22" s="8" t="s">
        <v>100</v>
      </c>
      <c r="L22" s="13" t="s">
        <v>181</v>
      </c>
      <c r="M22" s="8" t="s">
        <v>90</v>
      </c>
      <c r="N22" s="8" t="s">
        <v>86</v>
      </c>
    </row>
    <row r="23" customFormat="false" ht="43.5" hidden="false" customHeight="false" outlineLevel="0" collapsed="false">
      <c r="A23" s="14" t="s">
        <v>182</v>
      </c>
      <c r="C23" s="8" t="s">
        <v>183</v>
      </c>
      <c r="D23" s="8" t="s">
        <v>78</v>
      </c>
      <c r="G23" s="7" t="s">
        <v>79</v>
      </c>
      <c r="H23" s="8" t="s">
        <v>184</v>
      </c>
      <c r="I23" s="8" t="s">
        <v>185</v>
      </c>
      <c r="K23" s="8" t="s">
        <v>100</v>
      </c>
      <c r="L23" s="7" t="s">
        <v>186</v>
      </c>
      <c r="M23" s="8" t="s">
        <v>90</v>
      </c>
      <c r="N23" s="8" t="s">
        <v>86</v>
      </c>
      <c r="P23" s="8" t="e">
        <f aca="false">_xlfn.dispimg("ID_1A98A6AAA3BB49DE85C1DAF75B8D4997",1)</f>
        <v>#NAME?</v>
      </c>
    </row>
    <row r="24" customFormat="false" ht="43.5" hidden="false" customHeight="false" outlineLevel="0" collapsed="false">
      <c r="A24" s="14" t="s">
        <v>182</v>
      </c>
      <c r="C24" s="8" t="s">
        <v>187</v>
      </c>
      <c r="D24" s="8" t="s">
        <v>78</v>
      </c>
      <c r="G24" s="7" t="s">
        <v>188</v>
      </c>
      <c r="H24" s="8" t="s">
        <v>184</v>
      </c>
      <c r="I24" s="8" t="s">
        <v>189</v>
      </c>
      <c r="J24" s="13" t="s">
        <v>190</v>
      </c>
      <c r="K24" s="8" t="s">
        <v>100</v>
      </c>
      <c r="L24" s="13" t="s">
        <v>186</v>
      </c>
      <c r="M24" s="8" t="s">
        <v>90</v>
      </c>
      <c r="N24" s="8" t="s">
        <v>86</v>
      </c>
      <c r="P24" s="8" t="e">
        <f aca="false">_xlfn.dispimg("ID_50B859B6801F4E0AA58A857812AA5992",1)</f>
        <v>#NAME?</v>
      </c>
    </row>
    <row r="25" customFormat="false" ht="14.5" hidden="true" customHeight="false" outlineLevel="0" collapsed="false">
      <c r="C25" s="8" t="s">
        <v>191</v>
      </c>
      <c r="D25" s="8" t="s">
        <v>86</v>
      </c>
      <c r="E25" s="8" t="s">
        <v>192</v>
      </c>
      <c r="F25" s="8" t="s">
        <v>137</v>
      </c>
      <c r="H25" s="8" t="s">
        <v>80</v>
      </c>
      <c r="I25" s="8" t="s">
        <v>193</v>
      </c>
      <c r="K25" s="8" t="s">
        <v>100</v>
      </c>
      <c r="M25" s="8" t="s">
        <v>90</v>
      </c>
      <c r="N25" s="8" t="s">
        <v>86</v>
      </c>
    </row>
    <row r="26" customFormat="false" ht="14.5" hidden="true" customHeight="false" outlineLevel="0" collapsed="false">
      <c r="C26" s="8" t="s">
        <v>194</v>
      </c>
      <c r="D26" s="8" t="s">
        <v>86</v>
      </c>
      <c r="E26" s="12" t="s">
        <v>104</v>
      </c>
      <c r="F26" s="12" t="s">
        <v>105</v>
      </c>
      <c r="H26" s="8" t="s">
        <v>80</v>
      </c>
      <c r="I26" s="8" t="s">
        <v>195</v>
      </c>
      <c r="K26" s="8" t="s">
        <v>100</v>
      </c>
      <c r="M26" s="8" t="s">
        <v>90</v>
      </c>
      <c r="N26" s="8" t="s">
        <v>86</v>
      </c>
    </row>
    <row r="27" customFormat="false" ht="14.5" hidden="true" customHeight="false" outlineLevel="0" collapsed="false">
      <c r="C27" s="8" t="s">
        <v>167</v>
      </c>
      <c r="D27" s="8" t="s">
        <v>86</v>
      </c>
      <c r="G27" s="7" t="s">
        <v>196</v>
      </c>
      <c r="H27" s="8" t="s">
        <v>80</v>
      </c>
      <c r="I27" s="8" t="s">
        <v>167</v>
      </c>
      <c r="J27" s="13" t="s">
        <v>197</v>
      </c>
      <c r="K27" s="8" t="s">
        <v>100</v>
      </c>
      <c r="M27" s="8" t="s">
        <v>90</v>
      </c>
      <c r="N27" s="8" t="s">
        <v>86</v>
      </c>
      <c r="Q27" s="8" t="s">
        <v>198</v>
      </c>
    </row>
    <row r="28" customFormat="false" ht="14.5" hidden="true" customHeight="false" outlineLevel="0" collapsed="false">
      <c r="C28" s="8" t="s">
        <v>90</v>
      </c>
      <c r="D28" s="8" t="s">
        <v>86</v>
      </c>
      <c r="H28" s="8" t="s">
        <v>80</v>
      </c>
      <c r="I28" s="8" t="s">
        <v>90</v>
      </c>
      <c r="K28" s="8" t="s">
        <v>100</v>
      </c>
      <c r="M28" s="8" t="s">
        <v>90</v>
      </c>
      <c r="N28" s="8" t="s">
        <v>86</v>
      </c>
      <c r="Q28" s="8" t="s">
        <v>199</v>
      </c>
    </row>
    <row r="29" customFormat="false" ht="29" hidden="true" customHeight="false" outlineLevel="0" collapsed="false">
      <c r="A29" s="11" t="s">
        <v>200</v>
      </c>
      <c r="C29" s="8" t="s">
        <v>201</v>
      </c>
      <c r="D29" s="8" t="s">
        <v>86</v>
      </c>
      <c r="E29" s="12" t="s">
        <v>104</v>
      </c>
      <c r="F29" s="12" t="s">
        <v>105</v>
      </c>
      <c r="G29" s="7" t="s">
        <v>202</v>
      </c>
      <c r="H29" s="8" t="s">
        <v>80</v>
      </c>
      <c r="I29" s="8" t="s">
        <v>203</v>
      </c>
      <c r="K29" s="8" t="s">
        <v>100</v>
      </c>
      <c r="M29" s="8" t="s">
        <v>90</v>
      </c>
      <c r="N29" s="8" t="s">
        <v>86</v>
      </c>
      <c r="P29" s="8" t="e">
        <f aca="false">_xlfn.dispimg("ID_37CD27A4591C4DB48D7BBF5C2DD4E5E5",1)</f>
        <v>#NAME?</v>
      </c>
    </row>
    <row r="30" customFormat="false" ht="29" hidden="true" customHeight="false" outlineLevel="0" collapsed="false">
      <c r="A30" s="11" t="s">
        <v>204</v>
      </c>
      <c r="C30" s="8" t="s">
        <v>205</v>
      </c>
      <c r="D30" s="8" t="s">
        <v>86</v>
      </c>
      <c r="E30" s="12" t="s">
        <v>104</v>
      </c>
      <c r="F30" s="12" t="s">
        <v>105</v>
      </c>
      <c r="G30" s="7" t="s">
        <v>202</v>
      </c>
      <c r="H30" s="8" t="s">
        <v>80</v>
      </c>
      <c r="I30" s="8" t="s">
        <v>206</v>
      </c>
      <c r="J30" s="13" t="s">
        <v>207</v>
      </c>
      <c r="K30" s="8" t="s">
        <v>100</v>
      </c>
      <c r="M30" s="8" t="s">
        <v>90</v>
      </c>
      <c r="N30" s="8" t="s">
        <v>86</v>
      </c>
      <c r="P30" s="8" t="e">
        <f aca="false">_xlfn.dispimg("ID_D01DFEFF3259455E931457F018566CFB",1)</f>
        <v>#NAME?</v>
      </c>
    </row>
    <row r="31" customFormat="false" ht="29" hidden="true" customHeight="false" outlineLevel="0" collapsed="false">
      <c r="A31" s="11" t="s">
        <v>208</v>
      </c>
      <c r="C31" s="8" t="s">
        <v>209</v>
      </c>
      <c r="D31" s="8" t="s">
        <v>86</v>
      </c>
      <c r="E31" s="12" t="s">
        <v>104</v>
      </c>
      <c r="F31" s="12" t="s">
        <v>105</v>
      </c>
      <c r="G31" s="7" t="s">
        <v>79</v>
      </c>
      <c r="H31" s="8" t="s">
        <v>80</v>
      </c>
      <c r="I31" s="8" t="s">
        <v>210</v>
      </c>
      <c r="K31" s="8" t="s">
        <v>100</v>
      </c>
      <c r="M31" s="8" t="s">
        <v>90</v>
      </c>
      <c r="N31" s="8" t="s">
        <v>86</v>
      </c>
      <c r="P31" s="8" t="e">
        <f aca="false">_xlfn.dispimg("ID_F439F49CC8CC4FB398E60F664AE07D6D",1)</f>
        <v>#NAME?</v>
      </c>
    </row>
    <row r="32" customFormat="false" ht="29" hidden="true" customHeight="false" outlineLevel="0" collapsed="false">
      <c r="C32" s="8" t="s">
        <v>211</v>
      </c>
      <c r="D32" s="8" t="s">
        <v>86</v>
      </c>
      <c r="E32" s="12" t="s">
        <v>104</v>
      </c>
      <c r="G32" s="7" t="s">
        <v>212</v>
      </c>
      <c r="H32" s="8" t="s">
        <v>213</v>
      </c>
      <c r="I32" s="8" t="s">
        <v>214</v>
      </c>
      <c r="K32" s="8" t="s">
        <v>100</v>
      </c>
      <c r="M32" s="8" t="s">
        <v>90</v>
      </c>
      <c r="N32" s="8" t="s">
        <v>86</v>
      </c>
    </row>
    <row r="33" customFormat="false" ht="29" hidden="true" customHeight="false" outlineLevel="0" collapsed="false">
      <c r="A33" s="7" t="s">
        <v>215</v>
      </c>
      <c r="C33" s="8" t="s">
        <v>216</v>
      </c>
      <c r="D33" s="8" t="s">
        <v>86</v>
      </c>
      <c r="E33" s="12" t="s">
        <v>104</v>
      </c>
      <c r="F33" s="8" t="s">
        <v>217</v>
      </c>
      <c r="G33" s="7" t="s">
        <v>212</v>
      </c>
      <c r="H33" s="8" t="s">
        <v>213</v>
      </c>
      <c r="I33" s="8" t="s">
        <v>218</v>
      </c>
      <c r="K33" s="8" t="s">
        <v>100</v>
      </c>
      <c r="M33" s="8" t="s">
        <v>90</v>
      </c>
      <c r="N33" s="8" t="s">
        <v>86</v>
      </c>
      <c r="P33" s="8" t="e">
        <f aca="false">_xlfn.dispimg("ID_4CB039A6F28649488F934485274D834B",1)</f>
        <v>#NAME?</v>
      </c>
    </row>
    <row r="34" customFormat="false" ht="29" hidden="true" customHeight="false" outlineLevel="0" collapsed="false">
      <c r="C34" s="8" t="s">
        <v>219</v>
      </c>
      <c r="D34" s="8" t="s">
        <v>86</v>
      </c>
      <c r="G34" s="7" t="s">
        <v>212</v>
      </c>
      <c r="H34" s="8" t="s">
        <v>213</v>
      </c>
      <c r="I34" s="8" t="s">
        <v>220</v>
      </c>
      <c r="K34" s="8" t="s">
        <v>100</v>
      </c>
      <c r="M34" s="8" t="s">
        <v>90</v>
      </c>
      <c r="N34" s="8" t="s">
        <v>86</v>
      </c>
    </row>
    <row r="35" customFormat="false" ht="29" hidden="true" customHeight="false" outlineLevel="0" collapsed="false">
      <c r="A35" s="7" t="s">
        <v>221</v>
      </c>
      <c r="C35" s="8" t="s">
        <v>222</v>
      </c>
      <c r="D35" s="8" t="s">
        <v>86</v>
      </c>
      <c r="E35" s="12" t="s">
        <v>104</v>
      </c>
      <c r="F35" s="8" t="s">
        <v>217</v>
      </c>
      <c r="G35" s="7" t="s">
        <v>212</v>
      </c>
      <c r="H35" s="8" t="s">
        <v>213</v>
      </c>
      <c r="I35" s="8" t="s">
        <v>223</v>
      </c>
      <c r="K35" s="8" t="s">
        <v>100</v>
      </c>
      <c r="M35" s="8" t="s">
        <v>90</v>
      </c>
      <c r="N35" s="8" t="s">
        <v>86</v>
      </c>
      <c r="P35" s="8" t="e">
        <f aca="false">_xlfn.dispimg("ID_0D4B8947F51C4E88BD2C4D50CBE78299",1)</f>
        <v>#NAME?</v>
      </c>
    </row>
    <row r="36" customFormat="false" ht="14.5" hidden="true" customHeight="false" outlineLevel="0" collapsed="false">
      <c r="C36" s="8" t="s">
        <v>224</v>
      </c>
      <c r="D36" s="8" t="s">
        <v>86</v>
      </c>
      <c r="E36" s="12" t="s">
        <v>104</v>
      </c>
      <c r="F36" s="12" t="s">
        <v>105</v>
      </c>
      <c r="G36" s="7" t="s">
        <v>79</v>
      </c>
      <c r="H36" s="8" t="s">
        <v>127</v>
      </c>
      <c r="I36" s="8" t="s">
        <v>225</v>
      </c>
      <c r="K36" s="8" t="s">
        <v>100</v>
      </c>
      <c r="M36" s="8" t="s">
        <v>90</v>
      </c>
      <c r="N36" s="8" t="s">
        <v>86</v>
      </c>
      <c r="P36" s="8" t="e">
        <f aca="false">_xlfn.dispimg("ID_4A72669AA9BC418CAE896CEDCFDA9494",1)</f>
        <v>#NAME?</v>
      </c>
    </row>
    <row r="37" customFormat="false" ht="14.5" hidden="true" customHeight="false" outlineLevel="0" collapsed="false">
      <c r="C37" s="8" t="s">
        <v>226</v>
      </c>
      <c r="D37" s="8" t="s">
        <v>86</v>
      </c>
      <c r="E37" s="8" t="s">
        <v>136</v>
      </c>
      <c r="F37" s="8" t="s">
        <v>217</v>
      </c>
      <c r="G37" s="7" t="s">
        <v>79</v>
      </c>
      <c r="H37" s="8" t="s">
        <v>127</v>
      </c>
      <c r="I37" s="8" t="s">
        <v>227</v>
      </c>
      <c r="K37" s="8" t="s">
        <v>100</v>
      </c>
      <c r="M37" s="8" t="s">
        <v>90</v>
      </c>
      <c r="N37" s="8" t="s">
        <v>86</v>
      </c>
      <c r="P37" s="8" t="e">
        <f aca="false">_xlfn.dispimg("ID_592B2B33C98442AA8D017E3C8BEEB41D",1)</f>
        <v>#NAME?</v>
      </c>
    </row>
    <row r="38" customFormat="false" ht="14.5" hidden="true" customHeight="false" outlineLevel="0" collapsed="false">
      <c r="C38" s="8" t="s">
        <v>228</v>
      </c>
      <c r="D38" s="8" t="s">
        <v>86</v>
      </c>
      <c r="E38" s="8" t="s">
        <v>229</v>
      </c>
      <c r="F38" s="8" t="s">
        <v>229</v>
      </c>
      <c r="G38" s="7" t="s">
        <v>79</v>
      </c>
      <c r="H38" s="8" t="s">
        <v>80</v>
      </c>
      <c r="I38" s="8" t="s">
        <v>230</v>
      </c>
      <c r="J38" s="13" t="s">
        <v>231</v>
      </c>
      <c r="K38" s="8" t="s">
        <v>100</v>
      </c>
      <c r="M38" s="8" t="s">
        <v>90</v>
      </c>
      <c r="N38" s="8" t="s">
        <v>101</v>
      </c>
      <c r="P38" s="8" t="e">
        <f aca="false">_xlfn.dispimg("ID_53841F943C484DF5898043BB5C495087",1)</f>
        <v>#NAME?</v>
      </c>
    </row>
    <row r="39" customFormat="false" ht="29" hidden="true" customHeight="false" outlineLevel="0" collapsed="false">
      <c r="A39" s="7" t="s">
        <v>232</v>
      </c>
      <c r="C39" s="7" t="s">
        <v>232</v>
      </c>
      <c r="D39" s="8" t="s">
        <v>86</v>
      </c>
      <c r="E39" s="12" t="s">
        <v>104</v>
      </c>
      <c r="F39" s="12" t="s">
        <v>105</v>
      </c>
      <c r="G39" s="7" t="s">
        <v>79</v>
      </c>
      <c r="H39" s="8" t="s">
        <v>80</v>
      </c>
      <c r="I39" s="8" t="s">
        <v>195</v>
      </c>
      <c r="J39" s="13" t="s">
        <v>233</v>
      </c>
      <c r="K39" s="8" t="s">
        <v>100</v>
      </c>
      <c r="M39" s="8" t="s">
        <v>90</v>
      </c>
      <c r="N39" s="8" t="s">
        <v>86</v>
      </c>
      <c r="P39" s="8" t="e">
        <f aca="false">_xlfn.dispimg("ID_CBF389AAA5654627B56D47F751DC6D55",1)</f>
        <v>#NAME?</v>
      </c>
    </row>
    <row r="40" customFormat="false" ht="29" hidden="true" customHeight="false" outlineLevel="0" collapsed="false">
      <c r="A40" s="7" t="s">
        <v>234</v>
      </c>
      <c r="C40" s="7" t="s">
        <v>235</v>
      </c>
      <c r="D40" s="8" t="s">
        <v>86</v>
      </c>
      <c r="E40" s="12" t="s">
        <v>104</v>
      </c>
      <c r="F40" s="12" t="s">
        <v>105</v>
      </c>
      <c r="G40" s="7" t="s">
        <v>79</v>
      </c>
      <c r="H40" s="8" t="s">
        <v>80</v>
      </c>
      <c r="I40" s="8" t="s">
        <v>236</v>
      </c>
      <c r="K40" s="8" t="s">
        <v>100</v>
      </c>
      <c r="M40" s="8" t="s">
        <v>90</v>
      </c>
      <c r="N40" s="8" t="s">
        <v>86</v>
      </c>
      <c r="P40" s="8" t="e">
        <f aca="false">_xlfn.dispimg("ID_7B8CB0C3B37F4D1AAF877AAE0C9E43CD",1)</f>
        <v>#NAME?</v>
      </c>
    </row>
    <row r="41" customFormat="false" ht="14.5" hidden="true" customHeight="false" outlineLevel="0" collapsed="false"/>
    <row r="42" customFormat="false" ht="14.5" hidden="true" customHeight="false" outlineLevel="0" collapsed="false"/>
    <row r="43" customFormat="false" ht="14.5" hidden="true" customHeight="false" outlineLevel="0" collapsed="false"/>
    <row r="44" customFormat="false" ht="14.5" hidden="true" customHeight="false" outlineLevel="0" collapsed="false"/>
    <row r="45" customFormat="false" ht="14.5" hidden="true" customHeight="false" outlineLevel="0" collapsed="false"/>
    <row r="46" customFormat="false" ht="14.5" hidden="true" customHeight="false" outlineLevel="0" collapsed="false"/>
    <row r="47" customFormat="false" ht="14.5" hidden="true" customHeight="false" outlineLevel="0" collapsed="false"/>
    <row r="48" customFormat="false" ht="14.5" hidden="true" customHeight="false" outlineLevel="0" collapsed="false"/>
    <row r="49" customFormat="false" ht="14.5" hidden="true" customHeight="false" outlineLevel="0" collapsed="false"/>
    <row r="50" customFormat="false" ht="14.5" hidden="true" customHeight="false" outlineLevel="0" collapsed="false"/>
    <row r="51" customFormat="false" ht="14.5" hidden="true" customHeight="false" outlineLevel="0" collapsed="false"/>
    <row r="52" customFormat="false" ht="14.5" hidden="true" customHeight="false" outlineLevel="0" collapsed="false"/>
    <row r="53" customFormat="false" ht="14.5" hidden="true" customHeight="false" outlineLevel="0" collapsed="false"/>
    <row r="54" customFormat="false" ht="14.5" hidden="true" customHeight="false" outlineLevel="0" collapsed="false"/>
  </sheetData>
  <autoFilter ref="A1:S54">
    <filterColumn colId="11">
      <filters>
        <filter val="10x 3’ single cell libraries must be sequenced apart&#10;from other applications."/>
        <filter val="Cannot be multiplexed together with Solaris Flex."/>
        <filter val="Parse Evercode WT v2 libraries must be sequenced&#10;apart from other applications."/>
        <filter val="Parse Evercode WT v3 libraries must be sequenced&#10;apart from other applications."/>
        <filter val="Scale Biosciences libraries must be sequenced apart&#10;from other applications."/>
        <filter val="VisiumHD libraries must be sequenced apart from&#10;other applications."/>
      </filters>
    </filterColumn>
  </autoFilter>
  <hyperlinks>
    <hyperlink ref="A6" r:id="rId2" display="Chromium GEM-X Single Cell 3' v4 Gene Expression User Guide"/>
    <hyperlink ref="E6" r:id="rId3" display="tR1"/>
    <hyperlink ref="F6" r:id="rId4" display="tR2"/>
    <hyperlink ref="A7" r:id="rId5" display="Chromium Single Cell 3' Reagent Kits User Guide (v3.1 Chemistry Dual Index)"/>
    <hyperlink ref="E7" r:id="rId6" display="tR1"/>
    <hyperlink ref="F7" r:id="rId7" display="tR2"/>
    <hyperlink ref="A8" r:id="rId8" display="Chromium GEM-X Single Cell 5' v3 Gene Expression"/>
    <hyperlink ref="E8" r:id="rId9" display="tR1"/>
    <hyperlink ref="F8" r:id="rId10" display="tR2"/>
    <hyperlink ref="A9" r:id="rId11" display="Chromium Single Cell 5' Reagent Kits (v2 Chemistry Dual Index)"/>
    <hyperlink ref="E9" r:id="rId12" display="tR1"/>
    <hyperlink ref="F9" r:id="rId13" display="tR2"/>
    <hyperlink ref="A10" r:id="rId14" display="Chromium GEM-X Single Cell 5' v3 Gene Expression with Feature Barcoding technology for CRISPR Screening"/>
    <hyperlink ref="E10" r:id="rId15" display="tR1"/>
    <hyperlink ref="F10" r:id="rId16" display="tR2"/>
    <hyperlink ref="A11" r:id="rId17" display="Chromium Fixed RNA Profiling Reagent Kits for Multiplexed Samples"/>
    <hyperlink ref="E11" r:id="rId18" display="tR1"/>
    <hyperlink ref="F11" r:id="rId19" display="srR2"/>
    <hyperlink ref="A12" r:id="rId20" display="CRISPR Screening with GEM-X Flex Gene Expression"/>
    <hyperlink ref="E12" r:id="rId21" display="tR1"/>
    <hyperlink ref="F12" r:id="rId22" display="tR2"/>
    <hyperlink ref="A13" r:id="rId23" display="Chromium Single Cell ATAC Reagent Kits User Guide (v2 Chemistry)"/>
    <hyperlink ref="A14" r:id="rId24" display="Chromium Next GEM Single Cell Multiome ATAC + Gene Expression Reagent Kits"/>
    <hyperlink ref="A15" r:id="rId25" display="Chromium GEM-X Single Cell 5' v3 Gene Expression with Feature Barcoding technology for Cell Surface Protein and CRISPR Screening User Guide"/>
    <hyperlink ref="E15" r:id="rId26" display="tR1"/>
    <hyperlink ref="A16" r:id="rId27" display="Chromium GEM-X Single Cell 3' v4 Gene Expression with Feature Barcoding technology for Cell Surface Protein User Guide"/>
    <hyperlink ref="F16" r:id="rId28" display="tR2"/>
    <hyperlink ref="A17" r:id="rId29" display="Visium HD Spatial Gene Expression Reagent Kits"/>
    <hyperlink ref="E17" r:id="rId30" display="tR1"/>
    <hyperlink ref="F17" r:id="rId31" display="srR2"/>
    <hyperlink ref="E18" r:id="rId32" display="tR1"/>
    <hyperlink ref="F18" r:id="rId33" display="srR2"/>
    <hyperlink ref="E19" r:id="rId34" display="tR1"/>
    <hyperlink ref="F19" r:id="rId35" display="srR2"/>
    <hyperlink ref="A21" r:id="rId36" display="Parse Evercode WT v3"/>
    <hyperlink ref="A22" r:id="rId37" display="Parse Evercode WT v2"/>
    <hyperlink ref="A23" r:id="rId38" display="Scale Bio"/>
    <hyperlink ref="A24" r:id="rId39" display="Scale Bio"/>
    <hyperlink ref="E26" r:id="rId40" display="tR1"/>
    <hyperlink ref="F26" r:id="rId41" display="tR2"/>
    <hyperlink ref="A29" r:id="rId42" display="NEBNext® Enzymatic Methyl-seq Kit&#10;"/>
    <hyperlink ref="E29" r:id="rId43" display="tR1"/>
    <hyperlink ref="F29" r:id="rId44" display="tR2"/>
    <hyperlink ref="A30" r:id="rId45" display="xGen Methyl-Sequencing DNA Library Prep Kit"/>
    <hyperlink ref="E30" r:id="rId46" display="tR1"/>
    <hyperlink ref="F30" r:id="rId47" display="tR2"/>
    <hyperlink ref="A31" r:id="rId48" display="xGen cfDNA &amp; FFPE DNA Library Preparation Kit"/>
    <hyperlink ref="E31" r:id="rId49" display="tR1"/>
    <hyperlink ref="F31" r:id="rId50" display="tR2"/>
    <hyperlink ref="E32" r:id="rId51" display="tR1"/>
    <hyperlink ref="E33" r:id="rId52" display="tR1"/>
    <hyperlink ref="E35" r:id="rId53" display="tR1"/>
    <hyperlink ref="E36" r:id="rId54" display="tR1"/>
    <hyperlink ref="F36" r:id="rId55" display="tR2"/>
    <hyperlink ref="E39" r:id="rId56" display="tR1"/>
    <hyperlink ref="F39" r:id="rId57" display="tR2"/>
    <hyperlink ref="E40" r:id="rId58" display="tR1"/>
    <hyperlink ref="F40" r:id="rId59" display="tR2"/>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60"/>
  <legacyDrawing r:id="rId61"/>
</worksheet>
</file>

<file path=xl/worksheets/sheet3.xml><?xml version="1.0" encoding="utf-8"?>
<worksheet xmlns="http://schemas.openxmlformats.org/spreadsheetml/2006/main" xmlns:r="http://schemas.openxmlformats.org/officeDocument/2006/relationships">
  <sheetPr filterMode="false">
    <pageSetUpPr fitToPage="false"/>
  </sheetPr>
  <dimension ref="A1:D385"/>
  <sheetViews>
    <sheetView showFormulas="false" showGridLines="true" showRowColHeaders="true" showZeros="true" rightToLeft="false" tabSelected="false" showOutlineSymbols="true" defaultGridColor="true" view="normal" topLeftCell="A1" colorId="64" zoomScale="69" zoomScaleNormal="69" zoomScalePageLayoutView="100" workbookViewId="0">
      <selection pane="topLeft" activeCell="E14" activeCellId="0" sqref="E14"/>
    </sheetView>
  </sheetViews>
  <sheetFormatPr defaultRowHeight="14.5" zeroHeight="false" outlineLevelRow="0" outlineLevelCol="0"/>
  <cols>
    <col collapsed="false" customWidth="true" hidden="false" outlineLevel="0" max="1" min="1" style="0" width="9"/>
    <col collapsed="false" customWidth="true" hidden="false" outlineLevel="0" max="2" min="2" style="0" width="18.18"/>
    <col collapsed="false" customWidth="true" hidden="false" outlineLevel="0" max="1025" min="3" style="0" width="9"/>
  </cols>
  <sheetData>
    <row r="1" customFormat="false" ht="14.5" hidden="false" customHeight="false" outlineLevel="0" collapsed="false">
      <c r="A1" s="15" t="s">
        <v>237</v>
      </c>
      <c r="B1" s="15" t="s">
        <v>238</v>
      </c>
      <c r="C1" s="15" t="s">
        <v>239</v>
      </c>
      <c r="D1" s="15" t="s">
        <v>240</v>
      </c>
    </row>
    <row r="2" customFormat="false" ht="14.5" hidden="false" customHeight="false" outlineLevel="0" collapsed="false">
      <c r="A2" s="16" t="s">
        <v>241</v>
      </c>
      <c r="B2" s="17" t="s">
        <v>242</v>
      </c>
      <c r="C2" s="16" t="n">
        <v>1</v>
      </c>
      <c r="D2" s="16" t="s">
        <v>243</v>
      </c>
    </row>
    <row r="3" customFormat="false" ht="14.5" hidden="false" customHeight="false" outlineLevel="0" collapsed="false">
      <c r="A3" s="16" t="s">
        <v>244</v>
      </c>
      <c r="B3" s="17" t="s">
        <v>245</v>
      </c>
      <c r="C3" s="16" t="n">
        <v>1</v>
      </c>
      <c r="D3" s="16" t="s">
        <v>246</v>
      </c>
    </row>
    <row r="4" customFormat="false" ht="14.5" hidden="false" customHeight="false" outlineLevel="0" collapsed="false">
      <c r="A4" s="16" t="s">
        <v>247</v>
      </c>
      <c r="B4" s="17" t="s">
        <v>42</v>
      </c>
      <c r="C4" s="16" t="n">
        <v>1</v>
      </c>
      <c r="D4" s="16" t="s">
        <v>248</v>
      </c>
    </row>
    <row r="5" customFormat="false" ht="14.5" hidden="false" customHeight="false" outlineLevel="0" collapsed="false">
      <c r="A5" s="16" t="s">
        <v>249</v>
      </c>
      <c r="B5" s="17" t="s">
        <v>250</v>
      </c>
      <c r="C5" s="16" t="n">
        <v>1</v>
      </c>
      <c r="D5" s="16" t="s">
        <v>251</v>
      </c>
    </row>
    <row r="6" customFormat="false" ht="14.5" hidden="false" customHeight="false" outlineLevel="0" collapsed="false">
      <c r="A6" s="16" t="s">
        <v>252</v>
      </c>
      <c r="B6" s="17" t="s">
        <v>253</v>
      </c>
      <c r="C6" s="16" t="n">
        <v>1</v>
      </c>
      <c r="D6" s="16" t="s">
        <v>254</v>
      </c>
    </row>
    <row r="7" customFormat="false" ht="14.5" hidden="false" customHeight="false" outlineLevel="0" collapsed="false">
      <c r="A7" s="16" t="s">
        <v>255</v>
      </c>
      <c r="B7" s="17" t="s">
        <v>256</v>
      </c>
      <c r="C7" s="16" t="n">
        <v>1</v>
      </c>
      <c r="D7" s="16" t="s">
        <v>257</v>
      </c>
    </row>
    <row r="8" customFormat="false" ht="14.5" hidden="false" customHeight="false" outlineLevel="0" collapsed="false">
      <c r="A8" s="16" t="s">
        <v>258</v>
      </c>
      <c r="B8" s="17" t="s">
        <v>259</v>
      </c>
      <c r="C8" s="16" t="n">
        <v>1</v>
      </c>
      <c r="D8" s="16" t="s">
        <v>260</v>
      </c>
    </row>
    <row r="9" customFormat="false" ht="14.5" hidden="false" customHeight="false" outlineLevel="0" collapsed="false">
      <c r="A9" s="16" t="s">
        <v>261</v>
      </c>
      <c r="B9" s="17" t="s">
        <v>262</v>
      </c>
      <c r="C9" s="16" t="n">
        <v>1</v>
      </c>
      <c r="D9" s="16" t="s">
        <v>263</v>
      </c>
    </row>
    <row r="10" customFormat="false" ht="14.5" hidden="false" customHeight="false" outlineLevel="0" collapsed="false">
      <c r="A10" s="16" t="s">
        <v>264</v>
      </c>
      <c r="B10" s="17" t="s">
        <v>265</v>
      </c>
      <c r="C10" s="16" t="n">
        <v>1</v>
      </c>
      <c r="D10" s="16" t="s">
        <v>266</v>
      </c>
    </row>
    <row r="11" customFormat="false" ht="14.5" hidden="false" customHeight="false" outlineLevel="0" collapsed="false">
      <c r="A11" s="16" t="s">
        <v>267</v>
      </c>
      <c r="B11" s="17" t="s">
        <v>268</v>
      </c>
      <c r="C11" s="16" t="n">
        <v>1</v>
      </c>
      <c r="D11" s="16" t="s">
        <v>269</v>
      </c>
    </row>
    <row r="12" customFormat="false" ht="14.5" hidden="false" customHeight="false" outlineLevel="0" collapsed="false">
      <c r="A12" s="16" t="s">
        <v>270</v>
      </c>
      <c r="B12" s="17" t="s">
        <v>45</v>
      </c>
      <c r="C12" s="16" t="n">
        <v>1</v>
      </c>
      <c r="D12" s="16" t="s">
        <v>271</v>
      </c>
    </row>
    <row r="13" customFormat="false" ht="14.5" hidden="false" customHeight="false" outlineLevel="0" collapsed="false">
      <c r="A13" s="16" t="s">
        <v>272</v>
      </c>
      <c r="B13" s="17" t="s">
        <v>273</v>
      </c>
      <c r="C13" s="16" t="n">
        <v>1</v>
      </c>
      <c r="D13" s="16" t="s">
        <v>274</v>
      </c>
    </row>
    <row r="14" customFormat="false" ht="14.5" hidden="false" customHeight="false" outlineLevel="0" collapsed="false">
      <c r="A14" s="16" t="s">
        <v>275</v>
      </c>
      <c r="B14" s="17" t="s">
        <v>276</v>
      </c>
      <c r="C14" s="16" t="n">
        <v>1</v>
      </c>
      <c r="D14" s="16" t="s">
        <v>277</v>
      </c>
    </row>
    <row r="15" customFormat="false" ht="14.5" hidden="false" customHeight="false" outlineLevel="0" collapsed="false">
      <c r="A15" s="16" t="s">
        <v>278</v>
      </c>
      <c r="B15" s="17" t="s">
        <v>279</v>
      </c>
      <c r="C15" s="16" t="n">
        <v>1</v>
      </c>
      <c r="D15" s="16" t="s">
        <v>280</v>
      </c>
    </row>
    <row r="16" customFormat="false" ht="14.5" hidden="false" customHeight="false" outlineLevel="0" collapsed="false">
      <c r="A16" s="16" t="s">
        <v>281</v>
      </c>
      <c r="B16" s="17" t="s">
        <v>282</v>
      </c>
      <c r="C16" s="16" t="n">
        <v>1</v>
      </c>
      <c r="D16" s="16" t="s">
        <v>283</v>
      </c>
    </row>
    <row r="17" customFormat="false" ht="14.5" hidden="false" customHeight="false" outlineLevel="0" collapsed="false">
      <c r="A17" s="16" t="s">
        <v>284</v>
      </c>
      <c r="B17" s="17" t="s">
        <v>285</v>
      </c>
      <c r="C17" s="16" t="n">
        <v>1</v>
      </c>
      <c r="D17" s="16" t="s">
        <v>286</v>
      </c>
    </row>
    <row r="18" customFormat="false" ht="14.5" hidden="false" customHeight="false" outlineLevel="0" collapsed="false">
      <c r="A18" s="16" t="s">
        <v>287</v>
      </c>
      <c r="B18" s="17" t="s">
        <v>288</v>
      </c>
      <c r="C18" s="16" t="n">
        <v>1</v>
      </c>
      <c r="D18" s="16" t="s">
        <v>289</v>
      </c>
    </row>
    <row r="19" customFormat="false" ht="14.5" hidden="false" customHeight="false" outlineLevel="0" collapsed="false">
      <c r="A19" s="16" t="s">
        <v>290</v>
      </c>
      <c r="B19" s="17" t="s">
        <v>291</v>
      </c>
      <c r="C19" s="16" t="n">
        <v>1</v>
      </c>
      <c r="D19" s="16" t="s">
        <v>292</v>
      </c>
    </row>
    <row r="20" customFormat="false" ht="14.5" hidden="false" customHeight="false" outlineLevel="0" collapsed="false">
      <c r="A20" s="16" t="s">
        <v>293</v>
      </c>
      <c r="B20" s="17" t="s">
        <v>48</v>
      </c>
      <c r="C20" s="16" t="n">
        <v>1</v>
      </c>
      <c r="D20" s="16" t="s">
        <v>294</v>
      </c>
    </row>
    <row r="21" customFormat="false" ht="14.5" hidden="false" customHeight="false" outlineLevel="0" collapsed="false">
      <c r="A21" s="16" t="s">
        <v>295</v>
      </c>
      <c r="B21" s="17" t="s">
        <v>296</v>
      </c>
      <c r="C21" s="16" t="n">
        <v>1</v>
      </c>
      <c r="D21" s="16" t="s">
        <v>297</v>
      </c>
    </row>
    <row r="22" customFormat="false" ht="14.5" hidden="false" customHeight="false" outlineLevel="0" collapsed="false">
      <c r="A22" s="16" t="s">
        <v>298</v>
      </c>
      <c r="B22" s="17" t="s">
        <v>299</v>
      </c>
      <c r="C22" s="16" t="n">
        <v>1</v>
      </c>
      <c r="D22" s="16" t="s">
        <v>300</v>
      </c>
    </row>
    <row r="23" customFormat="false" ht="14.5" hidden="false" customHeight="false" outlineLevel="0" collapsed="false">
      <c r="A23" s="16" t="s">
        <v>301</v>
      </c>
      <c r="B23" s="17" t="s">
        <v>302</v>
      </c>
      <c r="C23" s="16" t="n">
        <v>1</v>
      </c>
      <c r="D23" s="16" t="s">
        <v>303</v>
      </c>
    </row>
    <row r="24" customFormat="false" ht="14.5" hidden="false" customHeight="false" outlineLevel="0" collapsed="false">
      <c r="A24" s="16" t="s">
        <v>304</v>
      </c>
      <c r="B24" s="17" t="s">
        <v>305</v>
      </c>
      <c r="C24" s="16" t="n">
        <v>1</v>
      </c>
      <c r="D24" s="16" t="s">
        <v>306</v>
      </c>
    </row>
    <row r="25" customFormat="false" ht="14.5" hidden="false" customHeight="false" outlineLevel="0" collapsed="false">
      <c r="A25" s="16" t="s">
        <v>307</v>
      </c>
      <c r="B25" s="17" t="s">
        <v>308</v>
      </c>
      <c r="C25" s="16" t="n">
        <v>1</v>
      </c>
      <c r="D25" s="16" t="s">
        <v>309</v>
      </c>
    </row>
    <row r="26" customFormat="false" ht="14.5" hidden="false" customHeight="false" outlineLevel="0" collapsed="false">
      <c r="A26" s="16" t="s">
        <v>310</v>
      </c>
      <c r="B26" s="17" t="s">
        <v>311</v>
      </c>
      <c r="C26" s="16" t="n">
        <v>1</v>
      </c>
      <c r="D26" s="16" t="s">
        <v>312</v>
      </c>
    </row>
    <row r="27" customFormat="false" ht="14.5" hidden="false" customHeight="false" outlineLevel="0" collapsed="false">
      <c r="A27" s="16" t="s">
        <v>313</v>
      </c>
      <c r="B27" s="17" t="s">
        <v>314</v>
      </c>
      <c r="C27" s="16" t="n">
        <v>1</v>
      </c>
      <c r="D27" s="16" t="s">
        <v>315</v>
      </c>
    </row>
    <row r="28" customFormat="false" ht="14.5" hidden="false" customHeight="false" outlineLevel="0" collapsed="false">
      <c r="A28" s="16" t="s">
        <v>316</v>
      </c>
      <c r="B28" s="17" t="s">
        <v>51</v>
      </c>
      <c r="C28" s="16" t="n">
        <v>1</v>
      </c>
      <c r="D28" s="16" t="s">
        <v>317</v>
      </c>
    </row>
    <row r="29" customFormat="false" ht="14.5" hidden="false" customHeight="false" outlineLevel="0" collapsed="false">
      <c r="A29" s="16" t="s">
        <v>318</v>
      </c>
      <c r="B29" s="17" t="s">
        <v>319</v>
      </c>
      <c r="C29" s="16" t="n">
        <v>1</v>
      </c>
      <c r="D29" s="16" t="s">
        <v>320</v>
      </c>
    </row>
    <row r="30" customFormat="false" ht="14.5" hidden="false" customHeight="false" outlineLevel="0" collapsed="false">
      <c r="A30" s="16" t="s">
        <v>321</v>
      </c>
      <c r="B30" s="17" t="s">
        <v>322</v>
      </c>
      <c r="C30" s="16" t="n">
        <v>1</v>
      </c>
      <c r="D30" s="16" t="s">
        <v>323</v>
      </c>
    </row>
    <row r="31" customFormat="false" ht="14.5" hidden="false" customHeight="false" outlineLevel="0" collapsed="false">
      <c r="A31" s="16" t="s">
        <v>324</v>
      </c>
      <c r="B31" s="17" t="s">
        <v>325</v>
      </c>
      <c r="C31" s="16" t="n">
        <v>1</v>
      </c>
      <c r="D31" s="16" t="s">
        <v>326</v>
      </c>
    </row>
    <row r="32" customFormat="false" ht="14.5" hidden="false" customHeight="false" outlineLevel="0" collapsed="false">
      <c r="A32" s="16" t="s">
        <v>327</v>
      </c>
      <c r="B32" s="17" t="s">
        <v>328</v>
      </c>
      <c r="C32" s="16" t="n">
        <v>1</v>
      </c>
      <c r="D32" s="16" t="s">
        <v>329</v>
      </c>
    </row>
    <row r="33" customFormat="false" ht="14.5" hidden="false" customHeight="false" outlineLevel="0" collapsed="false">
      <c r="A33" s="16" t="s">
        <v>330</v>
      </c>
      <c r="B33" s="17" t="s">
        <v>331</v>
      </c>
      <c r="C33" s="16" t="n">
        <v>1</v>
      </c>
      <c r="D33" s="16" t="s">
        <v>332</v>
      </c>
    </row>
    <row r="34" customFormat="false" ht="14.5" hidden="false" customHeight="false" outlineLevel="0" collapsed="false">
      <c r="A34" s="16" t="s">
        <v>333</v>
      </c>
      <c r="B34" s="17" t="s">
        <v>334</v>
      </c>
      <c r="C34" s="16" t="n">
        <v>1</v>
      </c>
      <c r="D34" s="16" t="s">
        <v>335</v>
      </c>
    </row>
    <row r="35" customFormat="false" ht="14.5" hidden="false" customHeight="false" outlineLevel="0" collapsed="false">
      <c r="A35" s="16" t="s">
        <v>336</v>
      </c>
      <c r="B35" s="17" t="s">
        <v>337</v>
      </c>
      <c r="C35" s="16" t="n">
        <v>1</v>
      </c>
      <c r="D35" s="16" t="s">
        <v>338</v>
      </c>
    </row>
    <row r="36" customFormat="false" ht="14.5" hidden="false" customHeight="false" outlineLevel="0" collapsed="false">
      <c r="A36" s="16" t="s">
        <v>339</v>
      </c>
      <c r="B36" s="17" t="s">
        <v>54</v>
      </c>
      <c r="C36" s="16" t="n">
        <v>1</v>
      </c>
      <c r="D36" s="16" t="s">
        <v>340</v>
      </c>
    </row>
    <row r="37" customFormat="false" ht="14.5" hidden="false" customHeight="false" outlineLevel="0" collapsed="false">
      <c r="A37" s="16" t="s">
        <v>341</v>
      </c>
      <c r="B37" s="17" t="s">
        <v>342</v>
      </c>
      <c r="C37" s="16" t="n">
        <v>1</v>
      </c>
      <c r="D37" s="16" t="s">
        <v>343</v>
      </c>
    </row>
    <row r="38" customFormat="false" ht="14.5" hidden="false" customHeight="false" outlineLevel="0" collapsed="false">
      <c r="A38" s="16" t="s">
        <v>344</v>
      </c>
      <c r="B38" s="17" t="s">
        <v>345</v>
      </c>
      <c r="C38" s="16" t="n">
        <v>1</v>
      </c>
      <c r="D38" s="16" t="s">
        <v>346</v>
      </c>
    </row>
    <row r="39" customFormat="false" ht="14.5" hidden="false" customHeight="false" outlineLevel="0" collapsed="false">
      <c r="A39" s="16" t="s">
        <v>347</v>
      </c>
      <c r="B39" s="17" t="s">
        <v>348</v>
      </c>
      <c r="C39" s="16" t="n">
        <v>1</v>
      </c>
      <c r="D39" s="16" t="s">
        <v>349</v>
      </c>
    </row>
    <row r="40" customFormat="false" ht="14.5" hidden="false" customHeight="false" outlineLevel="0" collapsed="false">
      <c r="A40" s="16" t="s">
        <v>350</v>
      </c>
      <c r="B40" s="17" t="s">
        <v>351</v>
      </c>
      <c r="C40" s="16" t="n">
        <v>1</v>
      </c>
      <c r="D40" s="16" t="s">
        <v>352</v>
      </c>
    </row>
    <row r="41" customFormat="false" ht="14.5" hidden="false" customHeight="false" outlineLevel="0" collapsed="false">
      <c r="A41" s="16" t="s">
        <v>353</v>
      </c>
      <c r="B41" s="17" t="s">
        <v>354</v>
      </c>
      <c r="C41" s="16" t="n">
        <v>1</v>
      </c>
      <c r="D41" s="16" t="s">
        <v>355</v>
      </c>
    </row>
    <row r="42" customFormat="false" ht="14.5" hidden="false" customHeight="false" outlineLevel="0" collapsed="false">
      <c r="A42" s="16" t="s">
        <v>356</v>
      </c>
      <c r="B42" s="17" t="s">
        <v>357</v>
      </c>
      <c r="C42" s="16" t="n">
        <v>1</v>
      </c>
      <c r="D42" s="16" t="s">
        <v>358</v>
      </c>
    </row>
    <row r="43" customFormat="false" ht="14.5" hidden="false" customHeight="false" outlineLevel="0" collapsed="false">
      <c r="A43" s="16" t="s">
        <v>359</v>
      </c>
      <c r="B43" s="17" t="s">
        <v>360</v>
      </c>
      <c r="C43" s="16" t="n">
        <v>1</v>
      </c>
      <c r="D43" s="16" t="s">
        <v>361</v>
      </c>
    </row>
    <row r="44" customFormat="false" ht="14.5" hidden="false" customHeight="false" outlineLevel="0" collapsed="false">
      <c r="A44" s="16" t="s">
        <v>362</v>
      </c>
      <c r="B44" s="17" t="s">
        <v>57</v>
      </c>
      <c r="C44" s="16" t="n">
        <v>1</v>
      </c>
      <c r="D44" s="16" t="s">
        <v>363</v>
      </c>
    </row>
    <row r="45" customFormat="false" ht="14.5" hidden="false" customHeight="false" outlineLevel="0" collapsed="false">
      <c r="A45" s="16" t="s">
        <v>364</v>
      </c>
      <c r="B45" s="17" t="s">
        <v>365</v>
      </c>
      <c r="C45" s="16" t="n">
        <v>1</v>
      </c>
      <c r="D45" s="16" t="s">
        <v>366</v>
      </c>
    </row>
    <row r="46" customFormat="false" ht="14.5" hidden="false" customHeight="false" outlineLevel="0" collapsed="false">
      <c r="A46" s="16" t="s">
        <v>367</v>
      </c>
      <c r="B46" s="17" t="s">
        <v>368</v>
      </c>
      <c r="C46" s="16" t="n">
        <v>1</v>
      </c>
      <c r="D46" s="16" t="s">
        <v>369</v>
      </c>
    </row>
    <row r="47" customFormat="false" ht="14.5" hidden="false" customHeight="false" outlineLevel="0" collapsed="false">
      <c r="A47" s="16" t="s">
        <v>370</v>
      </c>
      <c r="B47" s="17" t="s">
        <v>371</v>
      </c>
      <c r="C47" s="16" t="n">
        <v>1</v>
      </c>
      <c r="D47" s="16" t="s">
        <v>372</v>
      </c>
    </row>
    <row r="48" customFormat="false" ht="14.5" hidden="false" customHeight="false" outlineLevel="0" collapsed="false">
      <c r="A48" s="16" t="s">
        <v>373</v>
      </c>
      <c r="B48" s="17" t="s">
        <v>374</v>
      </c>
      <c r="C48" s="16" t="n">
        <v>1</v>
      </c>
      <c r="D48" s="16" t="s">
        <v>375</v>
      </c>
    </row>
    <row r="49" customFormat="false" ht="14.5" hidden="false" customHeight="false" outlineLevel="0" collapsed="false">
      <c r="A49" s="16" t="s">
        <v>376</v>
      </c>
      <c r="B49" s="17" t="s">
        <v>377</v>
      </c>
      <c r="C49" s="16" t="n">
        <v>1</v>
      </c>
      <c r="D49" s="16" t="s">
        <v>378</v>
      </c>
    </row>
    <row r="50" customFormat="false" ht="14.5" hidden="false" customHeight="false" outlineLevel="0" collapsed="false">
      <c r="A50" s="16" t="s">
        <v>379</v>
      </c>
      <c r="B50" s="17" t="s">
        <v>380</v>
      </c>
      <c r="C50" s="16" t="n">
        <v>1</v>
      </c>
      <c r="D50" s="16" t="s">
        <v>381</v>
      </c>
    </row>
    <row r="51" customFormat="false" ht="14.5" hidden="false" customHeight="false" outlineLevel="0" collapsed="false">
      <c r="A51" s="16" t="s">
        <v>382</v>
      </c>
      <c r="B51" s="17" t="s">
        <v>383</v>
      </c>
      <c r="C51" s="16" t="n">
        <v>1</v>
      </c>
      <c r="D51" s="16" t="s">
        <v>384</v>
      </c>
    </row>
    <row r="52" customFormat="false" ht="14.5" hidden="false" customHeight="false" outlineLevel="0" collapsed="false">
      <c r="A52" s="16" t="s">
        <v>385</v>
      </c>
      <c r="B52" s="17" t="s">
        <v>386</v>
      </c>
      <c r="C52" s="16" t="n">
        <v>1</v>
      </c>
      <c r="D52" s="16" t="s">
        <v>387</v>
      </c>
    </row>
    <row r="53" customFormat="false" ht="14.5" hidden="false" customHeight="false" outlineLevel="0" collapsed="false">
      <c r="A53" s="16" t="s">
        <v>388</v>
      </c>
      <c r="B53" s="17" t="s">
        <v>389</v>
      </c>
      <c r="C53" s="16" t="n">
        <v>1</v>
      </c>
      <c r="D53" s="16" t="s">
        <v>390</v>
      </c>
    </row>
    <row r="54" customFormat="false" ht="14.5" hidden="false" customHeight="false" outlineLevel="0" collapsed="false">
      <c r="A54" s="16" t="s">
        <v>391</v>
      </c>
      <c r="B54" s="17" t="s">
        <v>392</v>
      </c>
      <c r="C54" s="16" t="n">
        <v>1</v>
      </c>
      <c r="D54" s="16" t="s">
        <v>393</v>
      </c>
    </row>
    <row r="55" customFormat="false" ht="14.5" hidden="false" customHeight="false" outlineLevel="0" collapsed="false">
      <c r="A55" s="16" t="s">
        <v>394</v>
      </c>
      <c r="B55" s="17" t="s">
        <v>395</v>
      </c>
      <c r="C55" s="16" t="n">
        <v>1</v>
      </c>
      <c r="D55" s="16" t="s">
        <v>396</v>
      </c>
    </row>
    <row r="56" customFormat="false" ht="14.5" hidden="false" customHeight="false" outlineLevel="0" collapsed="false">
      <c r="A56" s="16" t="s">
        <v>397</v>
      </c>
      <c r="B56" s="17" t="s">
        <v>398</v>
      </c>
      <c r="C56" s="16" t="n">
        <v>1</v>
      </c>
      <c r="D56" s="16" t="s">
        <v>399</v>
      </c>
    </row>
    <row r="57" customFormat="false" ht="14.5" hidden="false" customHeight="false" outlineLevel="0" collapsed="false">
      <c r="A57" s="16" t="s">
        <v>400</v>
      </c>
      <c r="B57" s="17" t="s">
        <v>401</v>
      </c>
      <c r="C57" s="16" t="n">
        <v>1</v>
      </c>
      <c r="D57" s="16" t="s">
        <v>402</v>
      </c>
    </row>
    <row r="58" customFormat="false" ht="14.5" hidden="false" customHeight="false" outlineLevel="0" collapsed="false">
      <c r="A58" s="16" t="s">
        <v>403</v>
      </c>
      <c r="B58" s="17" t="s">
        <v>404</v>
      </c>
      <c r="C58" s="16" t="n">
        <v>1</v>
      </c>
      <c r="D58" s="16" t="s">
        <v>405</v>
      </c>
    </row>
    <row r="59" customFormat="false" ht="14.5" hidden="false" customHeight="false" outlineLevel="0" collapsed="false">
      <c r="A59" s="16" t="s">
        <v>406</v>
      </c>
      <c r="B59" s="17" t="s">
        <v>21</v>
      </c>
      <c r="C59" s="16" t="n">
        <v>1</v>
      </c>
      <c r="D59" s="16" t="s">
        <v>407</v>
      </c>
    </row>
    <row r="60" customFormat="false" ht="14.5" hidden="false" customHeight="false" outlineLevel="0" collapsed="false">
      <c r="A60" s="16" t="s">
        <v>408</v>
      </c>
      <c r="B60" s="17" t="s">
        <v>409</v>
      </c>
      <c r="C60" s="16" t="n">
        <v>1</v>
      </c>
      <c r="D60" s="16" t="s">
        <v>410</v>
      </c>
    </row>
    <row r="61" customFormat="false" ht="14.5" hidden="false" customHeight="false" outlineLevel="0" collapsed="false">
      <c r="A61" s="16" t="s">
        <v>411</v>
      </c>
      <c r="B61" s="17" t="s">
        <v>412</v>
      </c>
      <c r="C61" s="16" t="n">
        <v>1</v>
      </c>
      <c r="D61" s="16" t="s">
        <v>413</v>
      </c>
    </row>
    <row r="62" customFormat="false" ht="14.5" hidden="false" customHeight="false" outlineLevel="0" collapsed="false">
      <c r="A62" s="16" t="s">
        <v>414</v>
      </c>
      <c r="B62" s="17" t="s">
        <v>415</v>
      </c>
      <c r="C62" s="16" t="n">
        <v>1</v>
      </c>
      <c r="D62" s="16" t="s">
        <v>416</v>
      </c>
    </row>
    <row r="63" customFormat="false" ht="14.5" hidden="false" customHeight="false" outlineLevel="0" collapsed="false">
      <c r="A63" s="16" t="s">
        <v>417</v>
      </c>
      <c r="B63" s="17" t="s">
        <v>418</v>
      </c>
      <c r="C63" s="16" t="n">
        <v>1</v>
      </c>
      <c r="D63" s="16" t="s">
        <v>419</v>
      </c>
    </row>
    <row r="64" customFormat="false" ht="14.5" hidden="false" customHeight="false" outlineLevel="0" collapsed="false">
      <c r="A64" s="16" t="s">
        <v>420</v>
      </c>
      <c r="B64" s="17" t="s">
        <v>421</v>
      </c>
      <c r="C64" s="16" t="n">
        <v>1</v>
      </c>
      <c r="D64" s="16" t="s">
        <v>422</v>
      </c>
    </row>
    <row r="65" customFormat="false" ht="14.5" hidden="false" customHeight="false" outlineLevel="0" collapsed="false">
      <c r="A65" s="16" t="s">
        <v>423</v>
      </c>
      <c r="B65" s="17" t="s">
        <v>424</v>
      </c>
      <c r="C65" s="16" t="n">
        <v>1</v>
      </c>
      <c r="D65" s="16" t="s">
        <v>425</v>
      </c>
    </row>
    <row r="66" customFormat="false" ht="14.5" hidden="false" customHeight="false" outlineLevel="0" collapsed="false">
      <c r="A66" s="16" t="s">
        <v>426</v>
      </c>
      <c r="B66" s="17" t="s">
        <v>427</v>
      </c>
      <c r="C66" s="16" t="n">
        <v>1</v>
      </c>
      <c r="D66" s="16" t="s">
        <v>428</v>
      </c>
    </row>
    <row r="67" customFormat="false" ht="14.5" hidden="false" customHeight="false" outlineLevel="0" collapsed="false">
      <c r="A67" s="16" t="s">
        <v>429</v>
      </c>
      <c r="B67" s="17" t="s">
        <v>30</v>
      </c>
      <c r="C67" s="16" t="n">
        <v>1</v>
      </c>
      <c r="D67" s="16" t="s">
        <v>430</v>
      </c>
    </row>
    <row r="68" customFormat="false" ht="14.5" hidden="false" customHeight="false" outlineLevel="0" collapsed="false">
      <c r="A68" s="16" t="s">
        <v>431</v>
      </c>
      <c r="B68" s="17" t="s">
        <v>432</v>
      </c>
      <c r="C68" s="16" t="n">
        <v>1</v>
      </c>
      <c r="D68" s="16" t="s">
        <v>433</v>
      </c>
    </row>
    <row r="69" customFormat="false" ht="14.5" hidden="false" customHeight="false" outlineLevel="0" collapsed="false">
      <c r="A69" s="16" t="s">
        <v>434</v>
      </c>
      <c r="B69" s="17" t="s">
        <v>435</v>
      </c>
      <c r="C69" s="16" t="n">
        <v>1</v>
      </c>
      <c r="D69" s="16" t="s">
        <v>436</v>
      </c>
    </row>
    <row r="70" customFormat="false" ht="14.5" hidden="false" customHeight="false" outlineLevel="0" collapsed="false">
      <c r="A70" s="16" t="s">
        <v>437</v>
      </c>
      <c r="B70" s="17" t="s">
        <v>438</v>
      </c>
      <c r="C70" s="16" t="n">
        <v>1</v>
      </c>
      <c r="D70" s="16" t="s">
        <v>439</v>
      </c>
    </row>
    <row r="71" customFormat="false" ht="14.5" hidden="false" customHeight="false" outlineLevel="0" collapsed="false">
      <c r="A71" s="16" t="s">
        <v>440</v>
      </c>
      <c r="B71" s="17" t="s">
        <v>441</v>
      </c>
      <c r="C71" s="16" t="n">
        <v>1</v>
      </c>
      <c r="D71" s="16" t="s">
        <v>442</v>
      </c>
    </row>
    <row r="72" customFormat="false" ht="14.5" hidden="false" customHeight="false" outlineLevel="0" collapsed="false">
      <c r="A72" s="16" t="s">
        <v>443</v>
      </c>
      <c r="B72" s="17" t="s">
        <v>444</v>
      </c>
      <c r="C72" s="16" t="n">
        <v>1</v>
      </c>
      <c r="D72" s="16" t="s">
        <v>445</v>
      </c>
    </row>
    <row r="73" customFormat="false" ht="14.5" hidden="false" customHeight="false" outlineLevel="0" collapsed="false">
      <c r="A73" s="16" t="s">
        <v>446</v>
      </c>
      <c r="B73" s="17" t="s">
        <v>447</v>
      </c>
      <c r="C73" s="16" t="n">
        <v>1</v>
      </c>
      <c r="D73" s="16" t="s">
        <v>448</v>
      </c>
    </row>
    <row r="74" customFormat="false" ht="14.5" hidden="false" customHeight="false" outlineLevel="0" collapsed="false">
      <c r="A74" s="16" t="s">
        <v>449</v>
      </c>
      <c r="B74" s="17" t="s">
        <v>450</v>
      </c>
      <c r="C74" s="16" t="n">
        <v>1</v>
      </c>
      <c r="D74" s="16" t="s">
        <v>451</v>
      </c>
    </row>
    <row r="75" customFormat="false" ht="14.5" hidden="false" customHeight="false" outlineLevel="0" collapsed="false">
      <c r="A75" s="16" t="s">
        <v>452</v>
      </c>
      <c r="B75" s="17" t="s">
        <v>33</v>
      </c>
      <c r="C75" s="16" t="n">
        <v>1</v>
      </c>
      <c r="D75" s="16" t="s">
        <v>453</v>
      </c>
    </row>
    <row r="76" customFormat="false" ht="14.5" hidden="false" customHeight="false" outlineLevel="0" collapsed="false">
      <c r="A76" s="16" t="s">
        <v>454</v>
      </c>
      <c r="B76" s="17" t="s">
        <v>455</v>
      </c>
      <c r="C76" s="16" t="n">
        <v>1</v>
      </c>
      <c r="D76" s="16" t="s">
        <v>456</v>
      </c>
    </row>
    <row r="77" customFormat="false" ht="14.5" hidden="false" customHeight="false" outlineLevel="0" collapsed="false">
      <c r="A77" s="16" t="s">
        <v>457</v>
      </c>
      <c r="B77" s="17" t="s">
        <v>458</v>
      </c>
      <c r="C77" s="16" t="n">
        <v>1</v>
      </c>
      <c r="D77" s="16" t="s">
        <v>459</v>
      </c>
    </row>
    <row r="78" customFormat="false" ht="14.5" hidden="false" customHeight="false" outlineLevel="0" collapsed="false">
      <c r="A78" s="16" t="s">
        <v>460</v>
      </c>
      <c r="B78" s="17" t="s">
        <v>461</v>
      </c>
      <c r="C78" s="16" t="n">
        <v>1</v>
      </c>
      <c r="D78" s="16" t="s">
        <v>462</v>
      </c>
    </row>
    <row r="79" customFormat="false" ht="14.5" hidden="false" customHeight="false" outlineLevel="0" collapsed="false">
      <c r="A79" s="16" t="s">
        <v>463</v>
      </c>
      <c r="B79" s="17" t="s">
        <v>464</v>
      </c>
      <c r="C79" s="16" t="n">
        <v>1</v>
      </c>
      <c r="D79" s="16" t="s">
        <v>465</v>
      </c>
    </row>
    <row r="80" customFormat="false" ht="14.5" hidden="false" customHeight="false" outlineLevel="0" collapsed="false">
      <c r="A80" s="16" t="s">
        <v>466</v>
      </c>
      <c r="B80" s="17" t="s">
        <v>467</v>
      </c>
      <c r="C80" s="16" t="n">
        <v>1</v>
      </c>
      <c r="D80" s="16" t="s">
        <v>468</v>
      </c>
    </row>
    <row r="81" customFormat="false" ht="14.5" hidden="false" customHeight="false" outlineLevel="0" collapsed="false">
      <c r="A81" s="16" t="s">
        <v>469</v>
      </c>
      <c r="B81" s="17" t="s">
        <v>470</v>
      </c>
      <c r="C81" s="16" t="n">
        <v>1</v>
      </c>
      <c r="D81" s="16" t="s">
        <v>471</v>
      </c>
    </row>
    <row r="82" customFormat="false" ht="14.5" hidden="false" customHeight="false" outlineLevel="0" collapsed="false">
      <c r="A82" s="16" t="s">
        <v>472</v>
      </c>
      <c r="B82" s="17" t="s">
        <v>473</v>
      </c>
      <c r="C82" s="16" t="n">
        <v>1</v>
      </c>
      <c r="D82" s="16" t="s">
        <v>474</v>
      </c>
    </row>
    <row r="83" customFormat="false" ht="14.5" hidden="false" customHeight="false" outlineLevel="0" collapsed="false">
      <c r="A83" s="16" t="s">
        <v>475</v>
      </c>
      <c r="B83" s="17" t="s">
        <v>36</v>
      </c>
      <c r="C83" s="16" t="n">
        <v>1</v>
      </c>
      <c r="D83" s="16" t="s">
        <v>476</v>
      </c>
    </row>
    <row r="84" customFormat="false" ht="14.5" hidden="false" customHeight="false" outlineLevel="0" collapsed="false">
      <c r="A84" s="16" t="s">
        <v>477</v>
      </c>
      <c r="B84" s="17" t="s">
        <v>478</v>
      </c>
      <c r="C84" s="16" t="n">
        <v>1</v>
      </c>
      <c r="D84" s="16" t="s">
        <v>479</v>
      </c>
    </row>
    <row r="85" customFormat="false" ht="14.5" hidden="false" customHeight="false" outlineLevel="0" collapsed="false">
      <c r="A85" s="16" t="s">
        <v>480</v>
      </c>
      <c r="B85" s="17" t="s">
        <v>481</v>
      </c>
      <c r="C85" s="16" t="n">
        <v>1</v>
      </c>
      <c r="D85" s="16" t="s">
        <v>482</v>
      </c>
    </row>
    <row r="86" customFormat="false" ht="14.5" hidden="false" customHeight="false" outlineLevel="0" collapsed="false">
      <c r="A86" s="16" t="s">
        <v>483</v>
      </c>
      <c r="B86" s="17" t="s">
        <v>484</v>
      </c>
      <c r="C86" s="16" t="n">
        <v>1</v>
      </c>
      <c r="D86" s="16" t="s">
        <v>485</v>
      </c>
    </row>
    <row r="87" customFormat="false" ht="14.5" hidden="false" customHeight="false" outlineLevel="0" collapsed="false">
      <c r="A87" s="16" t="s">
        <v>486</v>
      </c>
      <c r="B87" s="17" t="s">
        <v>487</v>
      </c>
      <c r="C87" s="16" t="n">
        <v>1</v>
      </c>
      <c r="D87" s="16" t="s">
        <v>488</v>
      </c>
    </row>
    <row r="88" customFormat="false" ht="14.5" hidden="false" customHeight="false" outlineLevel="0" collapsed="false">
      <c r="A88" s="16" t="s">
        <v>489</v>
      </c>
      <c r="B88" s="17" t="s">
        <v>490</v>
      </c>
      <c r="C88" s="16" t="n">
        <v>1</v>
      </c>
      <c r="D88" s="16" t="s">
        <v>491</v>
      </c>
    </row>
    <row r="89" customFormat="false" ht="14.5" hidden="false" customHeight="false" outlineLevel="0" collapsed="false">
      <c r="A89" s="16" t="s">
        <v>492</v>
      </c>
      <c r="B89" s="17" t="s">
        <v>493</v>
      </c>
      <c r="C89" s="16" t="n">
        <v>1</v>
      </c>
      <c r="D89" s="16" t="s">
        <v>494</v>
      </c>
    </row>
    <row r="90" customFormat="false" ht="14.5" hidden="false" customHeight="false" outlineLevel="0" collapsed="false">
      <c r="A90" s="16" t="s">
        <v>495</v>
      </c>
      <c r="B90" s="17" t="s">
        <v>496</v>
      </c>
      <c r="C90" s="16" t="n">
        <v>1</v>
      </c>
      <c r="D90" s="16" t="s">
        <v>497</v>
      </c>
    </row>
    <row r="91" customFormat="false" ht="14.5" hidden="false" customHeight="false" outlineLevel="0" collapsed="false">
      <c r="A91" s="16" t="s">
        <v>498</v>
      </c>
      <c r="B91" s="17" t="s">
        <v>39</v>
      </c>
      <c r="C91" s="16" t="n">
        <v>1</v>
      </c>
      <c r="D91" s="16" t="s">
        <v>499</v>
      </c>
    </row>
    <row r="92" customFormat="false" ht="14.5" hidden="false" customHeight="false" outlineLevel="0" collapsed="false">
      <c r="A92" s="16" t="s">
        <v>500</v>
      </c>
      <c r="B92" s="17" t="s">
        <v>501</v>
      </c>
      <c r="C92" s="16" t="n">
        <v>1</v>
      </c>
      <c r="D92" s="16" t="s">
        <v>502</v>
      </c>
    </row>
    <row r="93" customFormat="false" ht="14.5" hidden="false" customHeight="false" outlineLevel="0" collapsed="false">
      <c r="A93" s="16" t="s">
        <v>503</v>
      </c>
      <c r="B93" s="17" t="s">
        <v>504</v>
      </c>
      <c r="C93" s="16" t="n">
        <v>1</v>
      </c>
      <c r="D93" s="16" t="s">
        <v>505</v>
      </c>
    </row>
    <row r="94" customFormat="false" ht="14.5" hidden="false" customHeight="false" outlineLevel="0" collapsed="false">
      <c r="A94" s="16" t="s">
        <v>506</v>
      </c>
      <c r="B94" s="17" t="s">
        <v>507</v>
      </c>
      <c r="C94" s="16" t="n">
        <v>1</v>
      </c>
      <c r="D94" s="16" t="s">
        <v>508</v>
      </c>
    </row>
    <row r="95" customFormat="false" ht="14.5" hidden="false" customHeight="false" outlineLevel="0" collapsed="false">
      <c r="A95" s="16" t="s">
        <v>509</v>
      </c>
      <c r="B95" s="17" t="s">
        <v>510</v>
      </c>
      <c r="C95" s="16" t="n">
        <v>1</v>
      </c>
      <c r="D95" s="16" t="s">
        <v>511</v>
      </c>
    </row>
    <row r="96" customFormat="false" ht="14.5" hidden="false" customHeight="false" outlineLevel="0" collapsed="false">
      <c r="A96" s="16" t="s">
        <v>512</v>
      </c>
      <c r="B96" s="17" t="s">
        <v>513</v>
      </c>
      <c r="C96" s="16" t="n">
        <v>1</v>
      </c>
      <c r="D96" s="16" t="s">
        <v>514</v>
      </c>
    </row>
    <row r="97" customFormat="false" ht="14.5" hidden="false" customHeight="false" outlineLevel="0" collapsed="false">
      <c r="A97" s="16" t="s">
        <v>515</v>
      </c>
      <c r="B97" s="17" t="s">
        <v>516</v>
      </c>
      <c r="C97" s="16" t="n">
        <v>1</v>
      </c>
      <c r="D97" s="16" t="s">
        <v>517</v>
      </c>
    </row>
    <row r="98" customFormat="false" ht="14.5" hidden="false" customHeight="false" outlineLevel="0" collapsed="false">
      <c r="A98" s="16" t="s">
        <v>518</v>
      </c>
      <c r="B98" s="17" t="s">
        <v>519</v>
      </c>
      <c r="C98" s="16" t="n">
        <v>2</v>
      </c>
      <c r="D98" s="16" t="s">
        <v>243</v>
      </c>
    </row>
    <row r="99" customFormat="false" ht="14.5" hidden="false" customHeight="false" outlineLevel="0" collapsed="false">
      <c r="A99" s="16" t="s">
        <v>520</v>
      </c>
      <c r="B99" s="17" t="s">
        <v>521</v>
      </c>
      <c r="C99" s="16" t="n">
        <v>2</v>
      </c>
      <c r="D99" s="16" t="s">
        <v>246</v>
      </c>
    </row>
    <row r="100" customFormat="false" ht="14.5" hidden="false" customHeight="false" outlineLevel="0" collapsed="false">
      <c r="A100" s="16" t="s">
        <v>522</v>
      </c>
      <c r="B100" s="17" t="s">
        <v>523</v>
      </c>
      <c r="C100" s="16" t="n">
        <v>2</v>
      </c>
      <c r="D100" s="16" t="s">
        <v>248</v>
      </c>
    </row>
    <row r="101" customFormat="false" ht="14.5" hidden="false" customHeight="false" outlineLevel="0" collapsed="false">
      <c r="A101" s="16" t="s">
        <v>524</v>
      </c>
      <c r="B101" s="17" t="s">
        <v>525</v>
      </c>
      <c r="C101" s="16" t="n">
        <v>2</v>
      </c>
      <c r="D101" s="16" t="s">
        <v>251</v>
      </c>
    </row>
    <row r="102" customFormat="false" ht="14.5" hidden="false" customHeight="false" outlineLevel="0" collapsed="false">
      <c r="A102" s="16" t="s">
        <v>526</v>
      </c>
      <c r="B102" s="17" t="s">
        <v>527</v>
      </c>
      <c r="C102" s="16" t="n">
        <v>2</v>
      </c>
      <c r="D102" s="16" t="s">
        <v>254</v>
      </c>
    </row>
    <row r="103" customFormat="false" ht="14.5" hidden="false" customHeight="false" outlineLevel="0" collapsed="false">
      <c r="A103" s="16" t="s">
        <v>528</v>
      </c>
      <c r="B103" s="17" t="s">
        <v>529</v>
      </c>
      <c r="C103" s="16" t="n">
        <v>2</v>
      </c>
      <c r="D103" s="16" t="s">
        <v>257</v>
      </c>
    </row>
    <row r="104" customFormat="false" ht="14.5" hidden="false" customHeight="false" outlineLevel="0" collapsed="false">
      <c r="A104" s="16" t="s">
        <v>530</v>
      </c>
      <c r="B104" s="17" t="s">
        <v>531</v>
      </c>
      <c r="C104" s="16" t="n">
        <v>2</v>
      </c>
      <c r="D104" s="16" t="s">
        <v>260</v>
      </c>
    </row>
    <row r="105" customFormat="false" ht="14.5" hidden="false" customHeight="false" outlineLevel="0" collapsed="false">
      <c r="A105" s="16" t="s">
        <v>532</v>
      </c>
      <c r="B105" s="17" t="s">
        <v>533</v>
      </c>
      <c r="C105" s="16" t="n">
        <v>2</v>
      </c>
      <c r="D105" s="16" t="s">
        <v>263</v>
      </c>
    </row>
    <row r="106" customFormat="false" ht="14.5" hidden="false" customHeight="false" outlineLevel="0" collapsed="false">
      <c r="A106" s="16" t="s">
        <v>534</v>
      </c>
      <c r="B106" s="17" t="s">
        <v>535</v>
      </c>
      <c r="C106" s="16" t="n">
        <v>2</v>
      </c>
      <c r="D106" s="16" t="s">
        <v>266</v>
      </c>
    </row>
    <row r="107" customFormat="false" ht="14.5" hidden="false" customHeight="false" outlineLevel="0" collapsed="false">
      <c r="A107" s="16" t="s">
        <v>536</v>
      </c>
      <c r="B107" s="17" t="s">
        <v>537</v>
      </c>
      <c r="C107" s="16" t="n">
        <v>2</v>
      </c>
      <c r="D107" s="16" t="s">
        <v>269</v>
      </c>
    </row>
    <row r="108" customFormat="false" ht="14.5" hidden="false" customHeight="false" outlineLevel="0" collapsed="false">
      <c r="A108" s="16" t="s">
        <v>538</v>
      </c>
      <c r="B108" s="17" t="s">
        <v>539</v>
      </c>
      <c r="C108" s="16" t="n">
        <v>2</v>
      </c>
      <c r="D108" s="16" t="s">
        <v>271</v>
      </c>
    </row>
    <row r="109" customFormat="false" ht="14.5" hidden="false" customHeight="false" outlineLevel="0" collapsed="false">
      <c r="A109" s="16" t="s">
        <v>540</v>
      </c>
      <c r="B109" s="17" t="s">
        <v>541</v>
      </c>
      <c r="C109" s="16" t="n">
        <v>2</v>
      </c>
      <c r="D109" s="16" t="s">
        <v>274</v>
      </c>
    </row>
    <row r="110" customFormat="false" ht="14.5" hidden="false" customHeight="false" outlineLevel="0" collapsed="false">
      <c r="A110" s="16" t="s">
        <v>542</v>
      </c>
      <c r="B110" s="17" t="s">
        <v>543</v>
      </c>
      <c r="C110" s="16" t="n">
        <v>2</v>
      </c>
      <c r="D110" s="16" t="s">
        <v>277</v>
      </c>
    </row>
    <row r="111" customFormat="false" ht="14.5" hidden="false" customHeight="false" outlineLevel="0" collapsed="false">
      <c r="A111" s="16" t="s">
        <v>544</v>
      </c>
      <c r="B111" s="17" t="s">
        <v>545</v>
      </c>
      <c r="C111" s="16" t="n">
        <v>2</v>
      </c>
      <c r="D111" s="16" t="s">
        <v>280</v>
      </c>
    </row>
    <row r="112" customFormat="false" ht="14.5" hidden="false" customHeight="false" outlineLevel="0" collapsed="false">
      <c r="A112" s="16" t="s">
        <v>546</v>
      </c>
      <c r="B112" s="17" t="s">
        <v>547</v>
      </c>
      <c r="C112" s="16" t="n">
        <v>2</v>
      </c>
      <c r="D112" s="16" t="s">
        <v>283</v>
      </c>
    </row>
    <row r="113" customFormat="false" ht="14.5" hidden="false" customHeight="false" outlineLevel="0" collapsed="false">
      <c r="A113" s="16" t="s">
        <v>548</v>
      </c>
      <c r="B113" s="17" t="s">
        <v>549</v>
      </c>
      <c r="C113" s="16" t="n">
        <v>2</v>
      </c>
      <c r="D113" s="16" t="s">
        <v>286</v>
      </c>
    </row>
    <row r="114" customFormat="false" ht="14.5" hidden="false" customHeight="false" outlineLevel="0" collapsed="false">
      <c r="A114" s="16" t="s">
        <v>550</v>
      </c>
      <c r="B114" s="17" t="s">
        <v>551</v>
      </c>
      <c r="C114" s="16" t="n">
        <v>2</v>
      </c>
      <c r="D114" s="16" t="s">
        <v>289</v>
      </c>
    </row>
    <row r="115" customFormat="false" ht="14.5" hidden="false" customHeight="false" outlineLevel="0" collapsed="false">
      <c r="A115" s="16" t="s">
        <v>552</v>
      </c>
      <c r="B115" s="17" t="s">
        <v>553</v>
      </c>
      <c r="C115" s="16" t="n">
        <v>2</v>
      </c>
      <c r="D115" s="16" t="s">
        <v>292</v>
      </c>
    </row>
    <row r="116" customFormat="false" ht="14.5" hidden="false" customHeight="false" outlineLevel="0" collapsed="false">
      <c r="A116" s="16" t="s">
        <v>554</v>
      </c>
      <c r="B116" s="17" t="s">
        <v>555</v>
      </c>
      <c r="C116" s="16" t="n">
        <v>2</v>
      </c>
      <c r="D116" s="16" t="s">
        <v>294</v>
      </c>
    </row>
    <row r="117" customFormat="false" ht="14.5" hidden="false" customHeight="false" outlineLevel="0" collapsed="false">
      <c r="A117" s="16" t="s">
        <v>556</v>
      </c>
      <c r="B117" s="17" t="s">
        <v>557</v>
      </c>
      <c r="C117" s="16" t="n">
        <v>2</v>
      </c>
      <c r="D117" s="16" t="s">
        <v>297</v>
      </c>
    </row>
    <row r="118" customFormat="false" ht="14.5" hidden="false" customHeight="false" outlineLevel="0" collapsed="false">
      <c r="A118" s="16" t="s">
        <v>558</v>
      </c>
      <c r="B118" s="17" t="s">
        <v>559</v>
      </c>
      <c r="C118" s="16" t="n">
        <v>2</v>
      </c>
      <c r="D118" s="16" t="s">
        <v>300</v>
      </c>
    </row>
    <row r="119" customFormat="false" ht="14.5" hidden="false" customHeight="false" outlineLevel="0" collapsed="false">
      <c r="A119" s="16" t="s">
        <v>560</v>
      </c>
      <c r="B119" s="17" t="s">
        <v>561</v>
      </c>
      <c r="C119" s="16" t="n">
        <v>2</v>
      </c>
      <c r="D119" s="16" t="s">
        <v>303</v>
      </c>
    </row>
    <row r="120" customFormat="false" ht="14.5" hidden="false" customHeight="false" outlineLevel="0" collapsed="false">
      <c r="A120" s="16" t="s">
        <v>562</v>
      </c>
      <c r="B120" s="17" t="s">
        <v>563</v>
      </c>
      <c r="C120" s="16" t="n">
        <v>2</v>
      </c>
      <c r="D120" s="16" t="s">
        <v>306</v>
      </c>
    </row>
    <row r="121" customFormat="false" ht="14.5" hidden="false" customHeight="false" outlineLevel="0" collapsed="false">
      <c r="A121" s="16" t="s">
        <v>564</v>
      </c>
      <c r="B121" s="17" t="s">
        <v>565</v>
      </c>
      <c r="C121" s="16" t="n">
        <v>2</v>
      </c>
      <c r="D121" s="16" t="s">
        <v>309</v>
      </c>
    </row>
    <row r="122" customFormat="false" ht="14.5" hidden="false" customHeight="false" outlineLevel="0" collapsed="false">
      <c r="A122" s="16" t="s">
        <v>566</v>
      </c>
      <c r="B122" s="17" t="s">
        <v>567</v>
      </c>
      <c r="C122" s="16" t="n">
        <v>2</v>
      </c>
      <c r="D122" s="16" t="s">
        <v>312</v>
      </c>
    </row>
    <row r="123" customFormat="false" ht="14.5" hidden="false" customHeight="false" outlineLevel="0" collapsed="false">
      <c r="A123" s="16" t="s">
        <v>568</v>
      </c>
      <c r="B123" s="17" t="s">
        <v>569</v>
      </c>
      <c r="C123" s="16" t="n">
        <v>2</v>
      </c>
      <c r="D123" s="16" t="s">
        <v>315</v>
      </c>
    </row>
    <row r="124" customFormat="false" ht="14.5" hidden="false" customHeight="false" outlineLevel="0" collapsed="false">
      <c r="A124" s="16" t="s">
        <v>570</v>
      </c>
      <c r="B124" s="17" t="s">
        <v>571</v>
      </c>
      <c r="C124" s="16" t="n">
        <v>2</v>
      </c>
      <c r="D124" s="16" t="s">
        <v>317</v>
      </c>
    </row>
    <row r="125" customFormat="false" ht="14.5" hidden="false" customHeight="false" outlineLevel="0" collapsed="false">
      <c r="A125" s="16" t="s">
        <v>572</v>
      </c>
      <c r="B125" s="17" t="s">
        <v>573</v>
      </c>
      <c r="C125" s="16" t="n">
        <v>2</v>
      </c>
      <c r="D125" s="16" t="s">
        <v>320</v>
      </c>
    </row>
    <row r="126" customFormat="false" ht="14.5" hidden="false" customHeight="false" outlineLevel="0" collapsed="false">
      <c r="A126" s="16" t="s">
        <v>574</v>
      </c>
      <c r="B126" s="17" t="s">
        <v>575</v>
      </c>
      <c r="C126" s="16" t="n">
        <v>2</v>
      </c>
      <c r="D126" s="16" t="s">
        <v>323</v>
      </c>
    </row>
    <row r="127" customFormat="false" ht="14.5" hidden="false" customHeight="false" outlineLevel="0" collapsed="false">
      <c r="A127" s="16" t="s">
        <v>576</v>
      </c>
      <c r="B127" s="17" t="s">
        <v>577</v>
      </c>
      <c r="C127" s="16" t="n">
        <v>2</v>
      </c>
      <c r="D127" s="16" t="s">
        <v>326</v>
      </c>
    </row>
    <row r="128" customFormat="false" ht="14.5" hidden="false" customHeight="false" outlineLevel="0" collapsed="false">
      <c r="A128" s="16" t="s">
        <v>578</v>
      </c>
      <c r="B128" s="17" t="s">
        <v>579</v>
      </c>
      <c r="C128" s="16" t="n">
        <v>2</v>
      </c>
      <c r="D128" s="16" t="s">
        <v>329</v>
      </c>
    </row>
    <row r="129" customFormat="false" ht="14.5" hidden="false" customHeight="false" outlineLevel="0" collapsed="false">
      <c r="A129" s="16" t="s">
        <v>580</v>
      </c>
      <c r="B129" s="17" t="s">
        <v>581</v>
      </c>
      <c r="C129" s="16" t="n">
        <v>2</v>
      </c>
      <c r="D129" s="16" t="s">
        <v>332</v>
      </c>
    </row>
    <row r="130" customFormat="false" ht="14.5" hidden="false" customHeight="false" outlineLevel="0" collapsed="false">
      <c r="A130" s="16" t="s">
        <v>582</v>
      </c>
      <c r="B130" s="17" t="s">
        <v>583</v>
      </c>
      <c r="C130" s="16" t="n">
        <v>2</v>
      </c>
      <c r="D130" s="16" t="s">
        <v>335</v>
      </c>
    </row>
    <row r="131" customFormat="false" ht="14.5" hidden="false" customHeight="false" outlineLevel="0" collapsed="false">
      <c r="A131" s="16" t="s">
        <v>584</v>
      </c>
      <c r="B131" s="17" t="s">
        <v>585</v>
      </c>
      <c r="C131" s="16" t="n">
        <v>2</v>
      </c>
      <c r="D131" s="16" t="s">
        <v>338</v>
      </c>
    </row>
    <row r="132" customFormat="false" ht="14.5" hidden="false" customHeight="false" outlineLevel="0" collapsed="false">
      <c r="A132" s="16" t="s">
        <v>586</v>
      </c>
      <c r="B132" s="17" t="s">
        <v>587</v>
      </c>
      <c r="C132" s="16" t="n">
        <v>2</v>
      </c>
      <c r="D132" s="16" t="s">
        <v>340</v>
      </c>
    </row>
    <row r="133" customFormat="false" ht="14.5" hidden="false" customHeight="false" outlineLevel="0" collapsed="false">
      <c r="A133" s="16" t="s">
        <v>588</v>
      </c>
      <c r="B133" s="17" t="s">
        <v>589</v>
      </c>
      <c r="C133" s="16" t="n">
        <v>2</v>
      </c>
      <c r="D133" s="16" t="s">
        <v>343</v>
      </c>
    </row>
    <row r="134" customFormat="false" ht="14.5" hidden="false" customHeight="false" outlineLevel="0" collapsed="false">
      <c r="A134" s="16" t="s">
        <v>590</v>
      </c>
      <c r="B134" s="17" t="s">
        <v>591</v>
      </c>
      <c r="C134" s="16" t="n">
        <v>2</v>
      </c>
      <c r="D134" s="16" t="s">
        <v>346</v>
      </c>
    </row>
    <row r="135" customFormat="false" ht="14.5" hidden="false" customHeight="false" outlineLevel="0" collapsed="false">
      <c r="A135" s="16" t="s">
        <v>592</v>
      </c>
      <c r="B135" s="17" t="s">
        <v>593</v>
      </c>
      <c r="C135" s="16" t="n">
        <v>2</v>
      </c>
      <c r="D135" s="16" t="s">
        <v>349</v>
      </c>
    </row>
    <row r="136" customFormat="false" ht="14.5" hidden="false" customHeight="false" outlineLevel="0" collapsed="false">
      <c r="A136" s="16" t="s">
        <v>594</v>
      </c>
      <c r="B136" s="17" t="s">
        <v>595</v>
      </c>
      <c r="C136" s="16" t="n">
        <v>2</v>
      </c>
      <c r="D136" s="16" t="s">
        <v>352</v>
      </c>
    </row>
    <row r="137" customFormat="false" ht="14.5" hidden="false" customHeight="false" outlineLevel="0" collapsed="false">
      <c r="A137" s="16" t="s">
        <v>596</v>
      </c>
      <c r="B137" s="17" t="s">
        <v>597</v>
      </c>
      <c r="C137" s="16" t="n">
        <v>2</v>
      </c>
      <c r="D137" s="16" t="s">
        <v>355</v>
      </c>
    </row>
    <row r="138" customFormat="false" ht="14.5" hidden="false" customHeight="false" outlineLevel="0" collapsed="false">
      <c r="A138" s="16" t="s">
        <v>598</v>
      </c>
      <c r="B138" s="17" t="s">
        <v>599</v>
      </c>
      <c r="C138" s="16" t="n">
        <v>2</v>
      </c>
      <c r="D138" s="16" t="s">
        <v>358</v>
      </c>
    </row>
    <row r="139" customFormat="false" ht="14.5" hidden="false" customHeight="false" outlineLevel="0" collapsed="false">
      <c r="A139" s="16" t="s">
        <v>600</v>
      </c>
      <c r="B139" s="17" t="s">
        <v>601</v>
      </c>
      <c r="C139" s="16" t="n">
        <v>2</v>
      </c>
      <c r="D139" s="16" t="s">
        <v>361</v>
      </c>
    </row>
    <row r="140" customFormat="false" ht="14.5" hidden="false" customHeight="false" outlineLevel="0" collapsed="false">
      <c r="A140" s="16" t="s">
        <v>602</v>
      </c>
      <c r="B140" s="17" t="s">
        <v>603</v>
      </c>
      <c r="C140" s="16" t="n">
        <v>2</v>
      </c>
      <c r="D140" s="16" t="s">
        <v>363</v>
      </c>
    </row>
    <row r="141" customFormat="false" ht="14.5" hidden="false" customHeight="false" outlineLevel="0" collapsed="false">
      <c r="A141" s="16" t="s">
        <v>604</v>
      </c>
      <c r="B141" s="17" t="s">
        <v>605</v>
      </c>
      <c r="C141" s="16" t="n">
        <v>2</v>
      </c>
      <c r="D141" s="16" t="s">
        <v>366</v>
      </c>
    </row>
    <row r="142" customFormat="false" ht="14.5" hidden="false" customHeight="false" outlineLevel="0" collapsed="false">
      <c r="A142" s="16" t="s">
        <v>606</v>
      </c>
      <c r="B142" s="17" t="s">
        <v>607</v>
      </c>
      <c r="C142" s="16" t="n">
        <v>2</v>
      </c>
      <c r="D142" s="16" t="s">
        <v>369</v>
      </c>
    </row>
    <row r="143" customFormat="false" ht="14.5" hidden="false" customHeight="false" outlineLevel="0" collapsed="false">
      <c r="A143" s="16" t="s">
        <v>608</v>
      </c>
      <c r="B143" s="17" t="s">
        <v>609</v>
      </c>
      <c r="C143" s="16" t="n">
        <v>2</v>
      </c>
      <c r="D143" s="16" t="s">
        <v>372</v>
      </c>
    </row>
    <row r="144" customFormat="false" ht="14.5" hidden="false" customHeight="false" outlineLevel="0" collapsed="false">
      <c r="A144" s="16" t="s">
        <v>610</v>
      </c>
      <c r="B144" s="17" t="s">
        <v>611</v>
      </c>
      <c r="C144" s="16" t="n">
        <v>2</v>
      </c>
      <c r="D144" s="16" t="s">
        <v>375</v>
      </c>
    </row>
    <row r="145" customFormat="false" ht="14.5" hidden="false" customHeight="false" outlineLevel="0" collapsed="false">
      <c r="A145" s="16" t="s">
        <v>612</v>
      </c>
      <c r="B145" s="17" t="s">
        <v>613</v>
      </c>
      <c r="C145" s="16" t="n">
        <v>2</v>
      </c>
      <c r="D145" s="16" t="s">
        <v>378</v>
      </c>
    </row>
    <row r="146" customFormat="false" ht="14.5" hidden="false" customHeight="false" outlineLevel="0" collapsed="false">
      <c r="A146" s="16" t="s">
        <v>614</v>
      </c>
      <c r="B146" s="17" t="s">
        <v>615</v>
      </c>
      <c r="C146" s="16" t="n">
        <v>2</v>
      </c>
      <c r="D146" s="16" t="s">
        <v>381</v>
      </c>
    </row>
    <row r="147" customFormat="false" ht="14.5" hidden="false" customHeight="false" outlineLevel="0" collapsed="false">
      <c r="A147" s="16" t="s">
        <v>616</v>
      </c>
      <c r="B147" s="17" t="s">
        <v>617</v>
      </c>
      <c r="C147" s="16" t="n">
        <v>2</v>
      </c>
      <c r="D147" s="16" t="s">
        <v>384</v>
      </c>
    </row>
    <row r="148" customFormat="false" ht="14.5" hidden="false" customHeight="false" outlineLevel="0" collapsed="false">
      <c r="A148" s="16" t="s">
        <v>618</v>
      </c>
      <c r="B148" s="17" t="s">
        <v>619</v>
      </c>
      <c r="C148" s="16" t="n">
        <v>2</v>
      </c>
      <c r="D148" s="16" t="s">
        <v>387</v>
      </c>
    </row>
    <row r="149" customFormat="false" ht="14.5" hidden="false" customHeight="false" outlineLevel="0" collapsed="false">
      <c r="A149" s="16" t="s">
        <v>620</v>
      </c>
      <c r="B149" s="17" t="s">
        <v>621</v>
      </c>
      <c r="C149" s="16" t="n">
        <v>2</v>
      </c>
      <c r="D149" s="16" t="s">
        <v>390</v>
      </c>
    </row>
    <row r="150" customFormat="false" ht="14.5" hidden="false" customHeight="false" outlineLevel="0" collapsed="false">
      <c r="A150" s="16" t="s">
        <v>622</v>
      </c>
      <c r="B150" s="17" t="s">
        <v>623</v>
      </c>
      <c r="C150" s="16" t="n">
        <v>2</v>
      </c>
      <c r="D150" s="16" t="s">
        <v>393</v>
      </c>
    </row>
    <row r="151" customFormat="false" ht="14.5" hidden="false" customHeight="false" outlineLevel="0" collapsed="false">
      <c r="A151" s="16" t="s">
        <v>624</v>
      </c>
      <c r="B151" s="17" t="s">
        <v>625</v>
      </c>
      <c r="C151" s="16" t="n">
        <v>2</v>
      </c>
      <c r="D151" s="16" t="s">
        <v>396</v>
      </c>
    </row>
    <row r="152" customFormat="false" ht="14.5" hidden="false" customHeight="false" outlineLevel="0" collapsed="false">
      <c r="A152" s="16" t="s">
        <v>626</v>
      </c>
      <c r="B152" s="17" t="s">
        <v>627</v>
      </c>
      <c r="C152" s="16" t="n">
        <v>2</v>
      </c>
      <c r="D152" s="16" t="s">
        <v>399</v>
      </c>
    </row>
    <row r="153" customFormat="false" ht="14.5" hidden="false" customHeight="false" outlineLevel="0" collapsed="false">
      <c r="A153" s="16" t="s">
        <v>628</v>
      </c>
      <c r="B153" s="17" t="s">
        <v>629</v>
      </c>
      <c r="C153" s="16" t="n">
        <v>2</v>
      </c>
      <c r="D153" s="16" t="s">
        <v>402</v>
      </c>
    </row>
    <row r="154" customFormat="false" ht="14.5" hidden="false" customHeight="false" outlineLevel="0" collapsed="false">
      <c r="A154" s="16" t="s">
        <v>630</v>
      </c>
      <c r="B154" s="17" t="s">
        <v>631</v>
      </c>
      <c r="C154" s="16" t="n">
        <v>2</v>
      </c>
      <c r="D154" s="16" t="s">
        <v>405</v>
      </c>
    </row>
    <row r="155" customFormat="false" ht="14.5" hidden="false" customHeight="false" outlineLevel="0" collapsed="false">
      <c r="A155" s="16" t="s">
        <v>632</v>
      </c>
      <c r="B155" s="17" t="s">
        <v>633</v>
      </c>
      <c r="C155" s="16" t="n">
        <v>2</v>
      </c>
      <c r="D155" s="16" t="s">
        <v>407</v>
      </c>
    </row>
    <row r="156" customFormat="false" ht="14.5" hidden="false" customHeight="false" outlineLevel="0" collapsed="false">
      <c r="A156" s="16" t="s">
        <v>634</v>
      </c>
      <c r="B156" s="17" t="s">
        <v>635</v>
      </c>
      <c r="C156" s="16" t="n">
        <v>2</v>
      </c>
      <c r="D156" s="16" t="s">
        <v>410</v>
      </c>
    </row>
    <row r="157" customFormat="false" ht="14.5" hidden="false" customHeight="false" outlineLevel="0" collapsed="false">
      <c r="A157" s="16" t="s">
        <v>636</v>
      </c>
      <c r="B157" s="17" t="s">
        <v>637</v>
      </c>
      <c r="C157" s="16" t="n">
        <v>2</v>
      </c>
      <c r="D157" s="16" t="s">
        <v>413</v>
      </c>
    </row>
    <row r="158" customFormat="false" ht="14.5" hidden="false" customHeight="false" outlineLevel="0" collapsed="false">
      <c r="A158" s="16" t="s">
        <v>638</v>
      </c>
      <c r="B158" s="17" t="s">
        <v>639</v>
      </c>
      <c r="C158" s="16" t="n">
        <v>2</v>
      </c>
      <c r="D158" s="16" t="s">
        <v>416</v>
      </c>
    </row>
    <row r="159" customFormat="false" ht="14.5" hidden="false" customHeight="false" outlineLevel="0" collapsed="false">
      <c r="A159" s="16" t="s">
        <v>640</v>
      </c>
      <c r="B159" s="17" t="s">
        <v>641</v>
      </c>
      <c r="C159" s="16" t="n">
        <v>2</v>
      </c>
      <c r="D159" s="16" t="s">
        <v>419</v>
      </c>
    </row>
    <row r="160" customFormat="false" ht="14.5" hidden="false" customHeight="false" outlineLevel="0" collapsed="false">
      <c r="A160" s="16" t="s">
        <v>642</v>
      </c>
      <c r="B160" s="17" t="s">
        <v>643</v>
      </c>
      <c r="C160" s="16" t="n">
        <v>2</v>
      </c>
      <c r="D160" s="16" t="s">
        <v>422</v>
      </c>
    </row>
    <row r="161" customFormat="false" ht="14.5" hidden="false" customHeight="false" outlineLevel="0" collapsed="false">
      <c r="A161" s="16" t="s">
        <v>644</v>
      </c>
      <c r="B161" s="17" t="s">
        <v>645</v>
      </c>
      <c r="C161" s="16" t="n">
        <v>2</v>
      </c>
      <c r="D161" s="16" t="s">
        <v>425</v>
      </c>
    </row>
    <row r="162" customFormat="false" ht="14.5" hidden="false" customHeight="false" outlineLevel="0" collapsed="false">
      <c r="A162" s="16" t="s">
        <v>646</v>
      </c>
      <c r="B162" s="17" t="s">
        <v>647</v>
      </c>
      <c r="C162" s="16" t="n">
        <v>2</v>
      </c>
      <c r="D162" s="16" t="s">
        <v>428</v>
      </c>
    </row>
    <row r="163" customFormat="false" ht="14.5" hidden="false" customHeight="false" outlineLevel="0" collapsed="false">
      <c r="A163" s="16" t="s">
        <v>648</v>
      </c>
      <c r="B163" s="17" t="s">
        <v>649</v>
      </c>
      <c r="C163" s="16" t="n">
        <v>2</v>
      </c>
      <c r="D163" s="16" t="s">
        <v>430</v>
      </c>
    </row>
    <row r="164" customFormat="false" ht="14.5" hidden="false" customHeight="false" outlineLevel="0" collapsed="false">
      <c r="A164" s="16" t="s">
        <v>650</v>
      </c>
      <c r="B164" s="17" t="s">
        <v>651</v>
      </c>
      <c r="C164" s="16" t="n">
        <v>2</v>
      </c>
      <c r="D164" s="16" t="s">
        <v>433</v>
      </c>
    </row>
    <row r="165" customFormat="false" ht="14.5" hidden="false" customHeight="false" outlineLevel="0" collapsed="false">
      <c r="A165" s="16" t="s">
        <v>652</v>
      </c>
      <c r="B165" s="17" t="s">
        <v>653</v>
      </c>
      <c r="C165" s="16" t="n">
        <v>2</v>
      </c>
      <c r="D165" s="16" t="s">
        <v>436</v>
      </c>
    </row>
    <row r="166" customFormat="false" ht="14.5" hidden="false" customHeight="false" outlineLevel="0" collapsed="false">
      <c r="A166" s="16" t="s">
        <v>654</v>
      </c>
      <c r="B166" s="17" t="s">
        <v>655</v>
      </c>
      <c r="C166" s="16" t="n">
        <v>2</v>
      </c>
      <c r="D166" s="16" t="s">
        <v>439</v>
      </c>
    </row>
    <row r="167" customFormat="false" ht="14.5" hidden="false" customHeight="false" outlineLevel="0" collapsed="false">
      <c r="A167" s="16" t="s">
        <v>656</v>
      </c>
      <c r="B167" s="17" t="s">
        <v>657</v>
      </c>
      <c r="C167" s="16" t="n">
        <v>2</v>
      </c>
      <c r="D167" s="16" t="s">
        <v>442</v>
      </c>
    </row>
    <row r="168" customFormat="false" ht="14.5" hidden="false" customHeight="false" outlineLevel="0" collapsed="false">
      <c r="A168" s="16" t="s">
        <v>658</v>
      </c>
      <c r="B168" s="17" t="s">
        <v>659</v>
      </c>
      <c r="C168" s="16" t="n">
        <v>2</v>
      </c>
      <c r="D168" s="16" t="s">
        <v>445</v>
      </c>
    </row>
    <row r="169" customFormat="false" ht="14.5" hidden="false" customHeight="false" outlineLevel="0" collapsed="false">
      <c r="A169" s="16" t="s">
        <v>660</v>
      </c>
      <c r="B169" s="17" t="s">
        <v>661</v>
      </c>
      <c r="C169" s="16" t="n">
        <v>2</v>
      </c>
      <c r="D169" s="16" t="s">
        <v>448</v>
      </c>
    </row>
    <row r="170" customFormat="false" ht="14.5" hidden="false" customHeight="false" outlineLevel="0" collapsed="false">
      <c r="A170" s="16" t="s">
        <v>662</v>
      </c>
      <c r="B170" s="17" t="s">
        <v>663</v>
      </c>
      <c r="C170" s="16" t="n">
        <v>2</v>
      </c>
      <c r="D170" s="16" t="s">
        <v>451</v>
      </c>
    </row>
    <row r="171" customFormat="false" ht="14.5" hidden="false" customHeight="false" outlineLevel="0" collapsed="false">
      <c r="A171" s="16" t="s">
        <v>664</v>
      </c>
      <c r="B171" s="17" t="s">
        <v>665</v>
      </c>
      <c r="C171" s="16" t="n">
        <v>2</v>
      </c>
      <c r="D171" s="16" t="s">
        <v>453</v>
      </c>
    </row>
    <row r="172" customFormat="false" ht="14.5" hidden="false" customHeight="false" outlineLevel="0" collapsed="false">
      <c r="A172" s="16" t="s">
        <v>666</v>
      </c>
      <c r="B172" s="17" t="s">
        <v>667</v>
      </c>
      <c r="C172" s="16" t="n">
        <v>2</v>
      </c>
      <c r="D172" s="16" t="s">
        <v>456</v>
      </c>
    </row>
    <row r="173" customFormat="false" ht="14.5" hidden="false" customHeight="false" outlineLevel="0" collapsed="false">
      <c r="A173" s="16" t="s">
        <v>668</v>
      </c>
      <c r="B173" s="17" t="s">
        <v>669</v>
      </c>
      <c r="C173" s="16" t="n">
        <v>2</v>
      </c>
      <c r="D173" s="16" t="s">
        <v>459</v>
      </c>
    </row>
    <row r="174" customFormat="false" ht="14.5" hidden="false" customHeight="false" outlineLevel="0" collapsed="false">
      <c r="A174" s="16" t="s">
        <v>670</v>
      </c>
      <c r="B174" s="17" t="s">
        <v>671</v>
      </c>
      <c r="C174" s="16" t="n">
        <v>2</v>
      </c>
      <c r="D174" s="16" t="s">
        <v>462</v>
      </c>
    </row>
    <row r="175" customFormat="false" ht="14.5" hidden="false" customHeight="false" outlineLevel="0" collapsed="false">
      <c r="A175" s="16" t="s">
        <v>672</v>
      </c>
      <c r="B175" s="17" t="s">
        <v>673</v>
      </c>
      <c r="C175" s="16" t="n">
        <v>2</v>
      </c>
      <c r="D175" s="16" t="s">
        <v>465</v>
      </c>
    </row>
    <row r="176" customFormat="false" ht="14.5" hidden="false" customHeight="false" outlineLevel="0" collapsed="false">
      <c r="A176" s="16" t="s">
        <v>674</v>
      </c>
      <c r="B176" s="17" t="s">
        <v>675</v>
      </c>
      <c r="C176" s="16" t="n">
        <v>2</v>
      </c>
      <c r="D176" s="16" t="s">
        <v>468</v>
      </c>
    </row>
    <row r="177" customFormat="false" ht="14.5" hidden="false" customHeight="false" outlineLevel="0" collapsed="false">
      <c r="A177" s="16" t="s">
        <v>676</v>
      </c>
      <c r="B177" s="17" t="s">
        <v>677</v>
      </c>
      <c r="C177" s="16" t="n">
        <v>2</v>
      </c>
      <c r="D177" s="16" t="s">
        <v>471</v>
      </c>
    </row>
    <row r="178" customFormat="false" ht="14.5" hidden="false" customHeight="false" outlineLevel="0" collapsed="false">
      <c r="A178" s="16" t="s">
        <v>678</v>
      </c>
      <c r="B178" s="17" t="s">
        <v>679</v>
      </c>
      <c r="C178" s="16" t="n">
        <v>2</v>
      </c>
      <c r="D178" s="16" t="s">
        <v>474</v>
      </c>
    </row>
    <row r="179" customFormat="false" ht="14.5" hidden="false" customHeight="false" outlineLevel="0" collapsed="false">
      <c r="A179" s="16" t="s">
        <v>680</v>
      </c>
      <c r="B179" s="17" t="s">
        <v>681</v>
      </c>
      <c r="C179" s="16" t="n">
        <v>2</v>
      </c>
      <c r="D179" s="16" t="s">
        <v>476</v>
      </c>
    </row>
    <row r="180" customFormat="false" ht="14.5" hidden="false" customHeight="false" outlineLevel="0" collapsed="false">
      <c r="A180" s="16" t="s">
        <v>682</v>
      </c>
      <c r="B180" s="17" t="s">
        <v>683</v>
      </c>
      <c r="C180" s="16" t="n">
        <v>2</v>
      </c>
      <c r="D180" s="16" t="s">
        <v>479</v>
      </c>
    </row>
    <row r="181" customFormat="false" ht="14.5" hidden="false" customHeight="false" outlineLevel="0" collapsed="false">
      <c r="A181" s="16" t="s">
        <v>684</v>
      </c>
      <c r="B181" s="17" t="s">
        <v>685</v>
      </c>
      <c r="C181" s="16" t="n">
        <v>2</v>
      </c>
      <c r="D181" s="16" t="s">
        <v>482</v>
      </c>
    </row>
    <row r="182" customFormat="false" ht="14.5" hidden="false" customHeight="false" outlineLevel="0" collapsed="false">
      <c r="A182" s="16" t="s">
        <v>686</v>
      </c>
      <c r="B182" s="17" t="s">
        <v>687</v>
      </c>
      <c r="C182" s="16" t="n">
        <v>2</v>
      </c>
      <c r="D182" s="16" t="s">
        <v>485</v>
      </c>
    </row>
    <row r="183" customFormat="false" ht="14.5" hidden="false" customHeight="false" outlineLevel="0" collapsed="false">
      <c r="A183" s="16" t="s">
        <v>688</v>
      </c>
      <c r="B183" s="17" t="s">
        <v>689</v>
      </c>
      <c r="C183" s="16" t="n">
        <v>2</v>
      </c>
      <c r="D183" s="16" t="s">
        <v>488</v>
      </c>
    </row>
    <row r="184" customFormat="false" ht="14.5" hidden="false" customHeight="false" outlineLevel="0" collapsed="false">
      <c r="A184" s="16" t="s">
        <v>690</v>
      </c>
      <c r="B184" s="17" t="s">
        <v>691</v>
      </c>
      <c r="C184" s="16" t="n">
        <v>2</v>
      </c>
      <c r="D184" s="16" t="s">
        <v>491</v>
      </c>
    </row>
    <row r="185" customFormat="false" ht="14.5" hidden="false" customHeight="false" outlineLevel="0" collapsed="false">
      <c r="A185" s="16" t="s">
        <v>692</v>
      </c>
      <c r="B185" s="17" t="s">
        <v>693</v>
      </c>
      <c r="C185" s="16" t="n">
        <v>2</v>
      </c>
      <c r="D185" s="16" t="s">
        <v>494</v>
      </c>
    </row>
    <row r="186" customFormat="false" ht="14.5" hidden="false" customHeight="false" outlineLevel="0" collapsed="false">
      <c r="A186" s="16" t="s">
        <v>694</v>
      </c>
      <c r="B186" s="17" t="s">
        <v>695</v>
      </c>
      <c r="C186" s="16" t="n">
        <v>2</v>
      </c>
      <c r="D186" s="16" t="s">
        <v>497</v>
      </c>
    </row>
    <row r="187" customFormat="false" ht="14.5" hidden="false" customHeight="false" outlineLevel="0" collapsed="false">
      <c r="A187" s="16" t="s">
        <v>696</v>
      </c>
      <c r="B187" s="17" t="s">
        <v>697</v>
      </c>
      <c r="C187" s="16" t="n">
        <v>2</v>
      </c>
      <c r="D187" s="16" t="s">
        <v>499</v>
      </c>
    </row>
    <row r="188" customFormat="false" ht="14.5" hidden="false" customHeight="false" outlineLevel="0" collapsed="false">
      <c r="A188" s="16" t="s">
        <v>698</v>
      </c>
      <c r="B188" s="17" t="s">
        <v>699</v>
      </c>
      <c r="C188" s="16" t="n">
        <v>2</v>
      </c>
      <c r="D188" s="16" t="s">
        <v>502</v>
      </c>
    </row>
    <row r="189" customFormat="false" ht="14.5" hidden="false" customHeight="false" outlineLevel="0" collapsed="false">
      <c r="A189" s="16" t="s">
        <v>700</v>
      </c>
      <c r="B189" s="17" t="s">
        <v>701</v>
      </c>
      <c r="C189" s="16" t="n">
        <v>2</v>
      </c>
      <c r="D189" s="16" t="s">
        <v>505</v>
      </c>
    </row>
    <row r="190" customFormat="false" ht="14.5" hidden="false" customHeight="false" outlineLevel="0" collapsed="false">
      <c r="A190" s="16" t="s">
        <v>702</v>
      </c>
      <c r="B190" s="17" t="s">
        <v>703</v>
      </c>
      <c r="C190" s="16" t="n">
        <v>2</v>
      </c>
      <c r="D190" s="16" t="s">
        <v>508</v>
      </c>
    </row>
    <row r="191" customFormat="false" ht="14.5" hidden="false" customHeight="false" outlineLevel="0" collapsed="false">
      <c r="A191" s="16" t="s">
        <v>704</v>
      </c>
      <c r="B191" s="17" t="s">
        <v>705</v>
      </c>
      <c r="C191" s="16" t="n">
        <v>2</v>
      </c>
      <c r="D191" s="16" t="s">
        <v>511</v>
      </c>
    </row>
    <row r="192" customFormat="false" ht="14.5" hidden="false" customHeight="false" outlineLevel="0" collapsed="false">
      <c r="A192" s="16" t="s">
        <v>706</v>
      </c>
      <c r="B192" s="17" t="s">
        <v>707</v>
      </c>
      <c r="C192" s="16" t="n">
        <v>2</v>
      </c>
      <c r="D192" s="16" t="s">
        <v>514</v>
      </c>
    </row>
    <row r="193" customFormat="false" ht="14.5" hidden="false" customHeight="false" outlineLevel="0" collapsed="false">
      <c r="A193" s="16" t="s">
        <v>708</v>
      </c>
      <c r="B193" s="17" t="s">
        <v>709</v>
      </c>
      <c r="C193" s="16" t="n">
        <v>2</v>
      </c>
      <c r="D193" s="16" t="s">
        <v>517</v>
      </c>
    </row>
    <row r="194" customFormat="false" ht="14.5" hidden="false" customHeight="false" outlineLevel="0" collapsed="false">
      <c r="A194" s="16" t="s">
        <v>710</v>
      </c>
      <c r="B194" s="17" t="s">
        <v>711</v>
      </c>
      <c r="C194" s="16" t="n">
        <v>3</v>
      </c>
      <c r="D194" s="16" t="s">
        <v>243</v>
      </c>
    </row>
    <row r="195" customFormat="false" ht="14.5" hidden="false" customHeight="false" outlineLevel="0" collapsed="false">
      <c r="A195" s="16" t="s">
        <v>712</v>
      </c>
      <c r="B195" s="17" t="s">
        <v>713</v>
      </c>
      <c r="C195" s="16" t="n">
        <v>3</v>
      </c>
      <c r="D195" s="16" t="s">
        <v>246</v>
      </c>
    </row>
    <row r="196" customFormat="false" ht="14.5" hidden="false" customHeight="false" outlineLevel="0" collapsed="false">
      <c r="A196" s="16" t="s">
        <v>714</v>
      </c>
      <c r="B196" s="17" t="s">
        <v>715</v>
      </c>
      <c r="C196" s="16" t="n">
        <v>3</v>
      </c>
      <c r="D196" s="16" t="s">
        <v>248</v>
      </c>
    </row>
    <row r="197" customFormat="false" ht="14.5" hidden="false" customHeight="false" outlineLevel="0" collapsed="false">
      <c r="A197" s="16" t="s">
        <v>716</v>
      </c>
      <c r="B197" s="17" t="s">
        <v>717</v>
      </c>
      <c r="C197" s="16" t="n">
        <v>3</v>
      </c>
      <c r="D197" s="16" t="s">
        <v>251</v>
      </c>
    </row>
    <row r="198" customFormat="false" ht="14.5" hidden="false" customHeight="false" outlineLevel="0" collapsed="false">
      <c r="A198" s="16" t="s">
        <v>718</v>
      </c>
      <c r="B198" s="17" t="s">
        <v>719</v>
      </c>
      <c r="C198" s="16" t="n">
        <v>3</v>
      </c>
      <c r="D198" s="16" t="s">
        <v>254</v>
      </c>
    </row>
    <row r="199" customFormat="false" ht="14.5" hidden="false" customHeight="false" outlineLevel="0" collapsed="false">
      <c r="A199" s="16" t="s">
        <v>720</v>
      </c>
      <c r="B199" s="17" t="s">
        <v>721</v>
      </c>
      <c r="C199" s="16" t="n">
        <v>3</v>
      </c>
      <c r="D199" s="16" t="s">
        <v>257</v>
      </c>
    </row>
    <row r="200" customFormat="false" ht="14.5" hidden="false" customHeight="false" outlineLevel="0" collapsed="false">
      <c r="A200" s="16" t="s">
        <v>722</v>
      </c>
      <c r="B200" s="17" t="s">
        <v>723</v>
      </c>
      <c r="C200" s="16" t="n">
        <v>3</v>
      </c>
      <c r="D200" s="16" t="s">
        <v>260</v>
      </c>
    </row>
    <row r="201" customFormat="false" ht="14.5" hidden="false" customHeight="false" outlineLevel="0" collapsed="false">
      <c r="A201" s="16" t="s">
        <v>724</v>
      </c>
      <c r="B201" s="17" t="s">
        <v>725</v>
      </c>
      <c r="C201" s="16" t="n">
        <v>3</v>
      </c>
      <c r="D201" s="16" t="s">
        <v>263</v>
      </c>
    </row>
    <row r="202" customFormat="false" ht="14.5" hidden="false" customHeight="false" outlineLevel="0" collapsed="false">
      <c r="A202" s="16" t="s">
        <v>726</v>
      </c>
      <c r="B202" s="17" t="s">
        <v>727</v>
      </c>
      <c r="C202" s="16" t="n">
        <v>3</v>
      </c>
      <c r="D202" s="16" t="s">
        <v>266</v>
      </c>
    </row>
    <row r="203" customFormat="false" ht="14.5" hidden="false" customHeight="false" outlineLevel="0" collapsed="false">
      <c r="A203" s="16" t="s">
        <v>728</v>
      </c>
      <c r="B203" s="17" t="s">
        <v>729</v>
      </c>
      <c r="C203" s="16" t="n">
        <v>3</v>
      </c>
      <c r="D203" s="16" t="s">
        <v>269</v>
      </c>
    </row>
    <row r="204" customFormat="false" ht="14.5" hidden="false" customHeight="false" outlineLevel="0" collapsed="false">
      <c r="A204" s="16" t="s">
        <v>730</v>
      </c>
      <c r="B204" s="17" t="s">
        <v>731</v>
      </c>
      <c r="C204" s="16" t="n">
        <v>3</v>
      </c>
      <c r="D204" s="16" t="s">
        <v>271</v>
      </c>
    </row>
    <row r="205" customFormat="false" ht="14.5" hidden="false" customHeight="false" outlineLevel="0" collapsed="false">
      <c r="A205" s="16" t="s">
        <v>732</v>
      </c>
      <c r="B205" s="17" t="s">
        <v>733</v>
      </c>
      <c r="C205" s="16" t="n">
        <v>3</v>
      </c>
      <c r="D205" s="16" t="s">
        <v>274</v>
      </c>
    </row>
    <row r="206" customFormat="false" ht="14.5" hidden="false" customHeight="false" outlineLevel="0" collapsed="false">
      <c r="A206" s="16" t="s">
        <v>734</v>
      </c>
      <c r="B206" s="17" t="s">
        <v>735</v>
      </c>
      <c r="C206" s="16" t="n">
        <v>3</v>
      </c>
      <c r="D206" s="16" t="s">
        <v>277</v>
      </c>
    </row>
    <row r="207" customFormat="false" ht="14.5" hidden="false" customHeight="false" outlineLevel="0" collapsed="false">
      <c r="A207" s="16" t="s">
        <v>736</v>
      </c>
      <c r="B207" s="17" t="s">
        <v>737</v>
      </c>
      <c r="C207" s="16" t="n">
        <v>3</v>
      </c>
      <c r="D207" s="16" t="s">
        <v>280</v>
      </c>
    </row>
    <row r="208" customFormat="false" ht="14.5" hidden="false" customHeight="false" outlineLevel="0" collapsed="false">
      <c r="A208" s="16" t="s">
        <v>738</v>
      </c>
      <c r="B208" s="17" t="s">
        <v>739</v>
      </c>
      <c r="C208" s="16" t="n">
        <v>3</v>
      </c>
      <c r="D208" s="16" t="s">
        <v>283</v>
      </c>
    </row>
    <row r="209" customFormat="false" ht="14.5" hidden="false" customHeight="false" outlineLevel="0" collapsed="false">
      <c r="A209" s="16" t="s">
        <v>740</v>
      </c>
      <c r="B209" s="17" t="s">
        <v>741</v>
      </c>
      <c r="C209" s="16" t="n">
        <v>3</v>
      </c>
      <c r="D209" s="16" t="s">
        <v>286</v>
      </c>
    </row>
    <row r="210" customFormat="false" ht="14.5" hidden="false" customHeight="false" outlineLevel="0" collapsed="false">
      <c r="A210" s="16" t="s">
        <v>742</v>
      </c>
      <c r="B210" s="17" t="s">
        <v>743</v>
      </c>
      <c r="C210" s="16" t="n">
        <v>3</v>
      </c>
      <c r="D210" s="16" t="s">
        <v>289</v>
      </c>
    </row>
    <row r="211" customFormat="false" ht="14.5" hidden="false" customHeight="false" outlineLevel="0" collapsed="false">
      <c r="A211" s="16" t="s">
        <v>744</v>
      </c>
      <c r="B211" s="17" t="s">
        <v>745</v>
      </c>
      <c r="C211" s="16" t="n">
        <v>3</v>
      </c>
      <c r="D211" s="16" t="s">
        <v>292</v>
      </c>
    </row>
    <row r="212" customFormat="false" ht="14.5" hidden="false" customHeight="false" outlineLevel="0" collapsed="false">
      <c r="A212" s="16" t="s">
        <v>746</v>
      </c>
      <c r="B212" s="17" t="s">
        <v>747</v>
      </c>
      <c r="C212" s="16" t="n">
        <v>3</v>
      </c>
      <c r="D212" s="16" t="s">
        <v>294</v>
      </c>
    </row>
    <row r="213" customFormat="false" ht="14.5" hidden="false" customHeight="false" outlineLevel="0" collapsed="false">
      <c r="A213" s="16" t="s">
        <v>748</v>
      </c>
      <c r="B213" s="17" t="s">
        <v>749</v>
      </c>
      <c r="C213" s="16" t="n">
        <v>3</v>
      </c>
      <c r="D213" s="16" t="s">
        <v>297</v>
      </c>
    </row>
    <row r="214" customFormat="false" ht="14.5" hidden="false" customHeight="false" outlineLevel="0" collapsed="false">
      <c r="A214" s="16" t="s">
        <v>750</v>
      </c>
      <c r="B214" s="17" t="s">
        <v>751</v>
      </c>
      <c r="C214" s="16" t="n">
        <v>3</v>
      </c>
      <c r="D214" s="16" t="s">
        <v>300</v>
      </c>
    </row>
    <row r="215" customFormat="false" ht="14.5" hidden="false" customHeight="false" outlineLevel="0" collapsed="false">
      <c r="A215" s="16" t="s">
        <v>752</v>
      </c>
      <c r="B215" s="17" t="s">
        <v>753</v>
      </c>
      <c r="C215" s="16" t="n">
        <v>3</v>
      </c>
      <c r="D215" s="16" t="s">
        <v>303</v>
      </c>
    </row>
    <row r="216" customFormat="false" ht="14.5" hidden="false" customHeight="false" outlineLevel="0" collapsed="false">
      <c r="A216" s="16" t="s">
        <v>754</v>
      </c>
      <c r="B216" s="17" t="s">
        <v>755</v>
      </c>
      <c r="C216" s="16" t="n">
        <v>3</v>
      </c>
      <c r="D216" s="16" t="s">
        <v>306</v>
      </c>
    </row>
    <row r="217" customFormat="false" ht="14.5" hidden="false" customHeight="false" outlineLevel="0" collapsed="false">
      <c r="A217" s="16" t="s">
        <v>756</v>
      </c>
      <c r="B217" s="17" t="s">
        <v>757</v>
      </c>
      <c r="C217" s="16" t="n">
        <v>3</v>
      </c>
      <c r="D217" s="16" t="s">
        <v>309</v>
      </c>
    </row>
    <row r="218" customFormat="false" ht="14.5" hidden="false" customHeight="false" outlineLevel="0" collapsed="false">
      <c r="A218" s="16" t="s">
        <v>758</v>
      </c>
      <c r="B218" s="17" t="s">
        <v>759</v>
      </c>
      <c r="C218" s="16" t="n">
        <v>3</v>
      </c>
      <c r="D218" s="16" t="s">
        <v>312</v>
      </c>
    </row>
    <row r="219" customFormat="false" ht="14.5" hidden="false" customHeight="false" outlineLevel="0" collapsed="false">
      <c r="A219" s="16" t="s">
        <v>760</v>
      </c>
      <c r="B219" s="17" t="s">
        <v>761</v>
      </c>
      <c r="C219" s="16" t="n">
        <v>3</v>
      </c>
      <c r="D219" s="16" t="s">
        <v>315</v>
      </c>
    </row>
    <row r="220" customFormat="false" ht="14.5" hidden="false" customHeight="false" outlineLevel="0" collapsed="false">
      <c r="A220" s="16" t="s">
        <v>762</v>
      </c>
      <c r="B220" s="17" t="s">
        <v>763</v>
      </c>
      <c r="C220" s="16" t="n">
        <v>3</v>
      </c>
      <c r="D220" s="16" t="s">
        <v>317</v>
      </c>
    </row>
    <row r="221" customFormat="false" ht="14.5" hidden="false" customHeight="false" outlineLevel="0" collapsed="false">
      <c r="A221" s="16" t="s">
        <v>764</v>
      </c>
      <c r="B221" s="17" t="s">
        <v>765</v>
      </c>
      <c r="C221" s="16" t="n">
        <v>3</v>
      </c>
      <c r="D221" s="16" t="s">
        <v>320</v>
      </c>
    </row>
    <row r="222" customFormat="false" ht="14.5" hidden="false" customHeight="false" outlineLevel="0" collapsed="false">
      <c r="A222" s="16" t="s">
        <v>766</v>
      </c>
      <c r="B222" s="17" t="s">
        <v>767</v>
      </c>
      <c r="C222" s="16" t="n">
        <v>3</v>
      </c>
      <c r="D222" s="16" t="s">
        <v>323</v>
      </c>
    </row>
    <row r="223" customFormat="false" ht="14.5" hidden="false" customHeight="false" outlineLevel="0" collapsed="false">
      <c r="A223" s="16" t="s">
        <v>768</v>
      </c>
      <c r="B223" s="17" t="s">
        <v>769</v>
      </c>
      <c r="C223" s="16" t="n">
        <v>3</v>
      </c>
      <c r="D223" s="16" t="s">
        <v>326</v>
      </c>
    </row>
    <row r="224" customFormat="false" ht="14.5" hidden="false" customHeight="false" outlineLevel="0" collapsed="false">
      <c r="A224" s="16" t="s">
        <v>770</v>
      </c>
      <c r="B224" s="17" t="s">
        <v>771</v>
      </c>
      <c r="C224" s="16" t="n">
        <v>3</v>
      </c>
      <c r="D224" s="16" t="s">
        <v>329</v>
      </c>
    </row>
    <row r="225" customFormat="false" ht="14.5" hidden="false" customHeight="false" outlineLevel="0" collapsed="false">
      <c r="A225" s="16" t="s">
        <v>772</v>
      </c>
      <c r="B225" s="17" t="s">
        <v>773</v>
      </c>
      <c r="C225" s="16" t="n">
        <v>3</v>
      </c>
      <c r="D225" s="16" t="s">
        <v>332</v>
      </c>
    </row>
    <row r="226" customFormat="false" ht="14.5" hidden="false" customHeight="false" outlineLevel="0" collapsed="false">
      <c r="A226" s="16" t="s">
        <v>774</v>
      </c>
      <c r="B226" s="17" t="s">
        <v>775</v>
      </c>
      <c r="C226" s="16" t="n">
        <v>3</v>
      </c>
      <c r="D226" s="16" t="s">
        <v>335</v>
      </c>
    </row>
    <row r="227" customFormat="false" ht="14.5" hidden="false" customHeight="false" outlineLevel="0" collapsed="false">
      <c r="A227" s="16" t="s">
        <v>776</v>
      </c>
      <c r="B227" s="17" t="s">
        <v>777</v>
      </c>
      <c r="C227" s="16" t="n">
        <v>3</v>
      </c>
      <c r="D227" s="16" t="s">
        <v>338</v>
      </c>
    </row>
    <row r="228" customFormat="false" ht="14.5" hidden="false" customHeight="false" outlineLevel="0" collapsed="false">
      <c r="A228" s="16" t="s">
        <v>778</v>
      </c>
      <c r="B228" s="17" t="s">
        <v>779</v>
      </c>
      <c r="C228" s="16" t="n">
        <v>3</v>
      </c>
      <c r="D228" s="16" t="s">
        <v>340</v>
      </c>
    </row>
    <row r="229" customFormat="false" ht="14.5" hidden="false" customHeight="false" outlineLevel="0" collapsed="false">
      <c r="A229" s="16" t="s">
        <v>780</v>
      </c>
      <c r="B229" s="17" t="s">
        <v>781</v>
      </c>
      <c r="C229" s="16" t="n">
        <v>3</v>
      </c>
      <c r="D229" s="16" t="s">
        <v>343</v>
      </c>
    </row>
    <row r="230" customFormat="false" ht="14.5" hidden="false" customHeight="false" outlineLevel="0" collapsed="false">
      <c r="A230" s="16" t="s">
        <v>782</v>
      </c>
      <c r="B230" s="17" t="s">
        <v>783</v>
      </c>
      <c r="C230" s="16" t="n">
        <v>3</v>
      </c>
      <c r="D230" s="16" t="s">
        <v>346</v>
      </c>
    </row>
    <row r="231" customFormat="false" ht="14.5" hidden="false" customHeight="false" outlineLevel="0" collapsed="false">
      <c r="A231" s="16" t="s">
        <v>784</v>
      </c>
      <c r="B231" s="17" t="s">
        <v>785</v>
      </c>
      <c r="C231" s="16" t="n">
        <v>3</v>
      </c>
      <c r="D231" s="16" t="s">
        <v>349</v>
      </c>
    </row>
    <row r="232" customFormat="false" ht="14.5" hidden="false" customHeight="false" outlineLevel="0" collapsed="false">
      <c r="A232" s="16" t="s">
        <v>786</v>
      </c>
      <c r="B232" s="17" t="s">
        <v>787</v>
      </c>
      <c r="C232" s="16" t="n">
        <v>3</v>
      </c>
      <c r="D232" s="16" t="s">
        <v>352</v>
      </c>
    </row>
    <row r="233" customFormat="false" ht="14.5" hidden="false" customHeight="false" outlineLevel="0" collapsed="false">
      <c r="A233" s="16" t="s">
        <v>788</v>
      </c>
      <c r="B233" s="17" t="s">
        <v>789</v>
      </c>
      <c r="C233" s="16" t="n">
        <v>3</v>
      </c>
      <c r="D233" s="16" t="s">
        <v>355</v>
      </c>
    </row>
    <row r="234" customFormat="false" ht="14.5" hidden="false" customHeight="false" outlineLevel="0" collapsed="false">
      <c r="A234" s="16" t="s">
        <v>790</v>
      </c>
      <c r="B234" s="17" t="s">
        <v>791</v>
      </c>
      <c r="C234" s="16" t="n">
        <v>3</v>
      </c>
      <c r="D234" s="16" t="s">
        <v>358</v>
      </c>
    </row>
    <row r="235" customFormat="false" ht="14.5" hidden="false" customHeight="false" outlineLevel="0" collapsed="false">
      <c r="A235" s="16" t="s">
        <v>792</v>
      </c>
      <c r="B235" s="17" t="s">
        <v>793</v>
      </c>
      <c r="C235" s="16" t="n">
        <v>3</v>
      </c>
      <c r="D235" s="16" t="s">
        <v>361</v>
      </c>
    </row>
    <row r="236" customFormat="false" ht="14.5" hidden="false" customHeight="false" outlineLevel="0" collapsed="false">
      <c r="A236" s="16" t="s">
        <v>794</v>
      </c>
      <c r="B236" s="17" t="s">
        <v>795</v>
      </c>
      <c r="C236" s="16" t="n">
        <v>3</v>
      </c>
      <c r="D236" s="16" t="s">
        <v>363</v>
      </c>
    </row>
    <row r="237" customFormat="false" ht="14.5" hidden="false" customHeight="false" outlineLevel="0" collapsed="false">
      <c r="A237" s="16" t="s">
        <v>796</v>
      </c>
      <c r="B237" s="17" t="s">
        <v>797</v>
      </c>
      <c r="C237" s="16" t="n">
        <v>3</v>
      </c>
      <c r="D237" s="16" t="s">
        <v>366</v>
      </c>
    </row>
    <row r="238" customFormat="false" ht="14.5" hidden="false" customHeight="false" outlineLevel="0" collapsed="false">
      <c r="A238" s="16" t="s">
        <v>798</v>
      </c>
      <c r="B238" s="17" t="s">
        <v>799</v>
      </c>
      <c r="C238" s="16" t="n">
        <v>3</v>
      </c>
      <c r="D238" s="16" t="s">
        <v>369</v>
      </c>
    </row>
    <row r="239" customFormat="false" ht="14.5" hidden="false" customHeight="false" outlineLevel="0" collapsed="false">
      <c r="A239" s="16" t="s">
        <v>800</v>
      </c>
      <c r="B239" s="17" t="s">
        <v>801</v>
      </c>
      <c r="C239" s="16" t="n">
        <v>3</v>
      </c>
      <c r="D239" s="16" t="s">
        <v>372</v>
      </c>
    </row>
    <row r="240" customFormat="false" ht="14.5" hidden="false" customHeight="false" outlineLevel="0" collapsed="false">
      <c r="A240" s="16" t="s">
        <v>802</v>
      </c>
      <c r="B240" s="17" t="s">
        <v>803</v>
      </c>
      <c r="C240" s="16" t="n">
        <v>3</v>
      </c>
      <c r="D240" s="16" t="s">
        <v>375</v>
      </c>
    </row>
    <row r="241" customFormat="false" ht="14.5" hidden="false" customHeight="false" outlineLevel="0" collapsed="false">
      <c r="A241" s="16" t="s">
        <v>804</v>
      </c>
      <c r="B241" s="17" t="s">
        <v>805</v>
      </c>
      <c r="C241" s="16" t="n">
        <v>3</v>
      </c>
      <c r="D241" s="16" t="s">
        <v>378</v>
      </c>
    </row>
    <row r="242" customFormat="false" ht="14.5" hidden="false" customHeight="false" outlineLevel="0" collapsed="false">
      <c r="A242" s="16" t="s">
        <v>806</v>
      </c>
      <c r="B242" s="17" t="s">
        <v>807</v>
      </c>
      <c r="C242" s="16" t="n">
        <v>3</v>
      </c>
      <c r="D242" s="16" t="s">
        <v>381</v>
      </c>
    </row>
    <row r="243" customFormat="false" ht="14.5" hidden="false" customHeight="false" outlineLevel="0" collapsed="false">
      <c r="A243" s="16" t="s">
        <v>808</v>
      </c>
      <c r="B243" s="17" t="s">
        <v>809</v>
      </c>
      <c r="C243" s="16" t="n">
        <v>3</v>
      </c>
      <c r="D243" s="16" t="s">
        <v>384</v>
      </c>
    </row>
    <row r="244" customFormat="false" ht="14.5" hidden="false" customHeight="false" outlineLevel="0" collapsed="false">
      <c r="A244" s="16" t="s">
        <v>810</v>
      </c>
      <c r="B244" s="17" t="s">
        <v>811</v>
      </c>
      <c r="C244" s="16" t="n">
        <v>3</v>
      </c>
      <c r="D244" s="16" t="s">
        <v>387</v>
      </c>
    </row>
    <row r="245" customFormat="false" ht="14.5" hidden="false" customHeight="false" outlineLevel="0" collapsed="false">
      <c r="A245" s="16" t="s">
        <v>812</v>
      </c>
      <c r="B245" s="17" t="s">
        <v>813</v>
      </c>
      <c r="C245" s="16" t="n">
        <v>3</v>
      </c>
      <c r="D245" s="16" t="s">
        <v>390</v>
      </c>
    </row>
    <row r="246" customFormat="false" ht="14.5" hidden="false" customHeight="false" outlineLevel="0" collapsed="false">
      <c r="A246" s="16" t="s">
        <v>814</v>
      </c>
      <c r="B246" s="17" t="s">
        <v>815</v>
      </c>
      <c r="C246" s="16" t="n">
        <v>3</v>
      </c>
      <c r="D246" s="16" t="s">
        <v>393</v>
      </c>
    </row>
    <row r="247" customFormat="false" ht="14.5" hidden="false" customHeight="false" outlineLevel="0" collapsed="false">
      <c r="A247" s="16" t="s">
        <v>816</v>
      </c>
      <c r="B247" s="17" t="s">
        <v>817</v>
      </c>
      <c r="C247" s="16" t="n">
        <v>3</v>
      </c>
      <c r="D247" s="16" t="s">
        <v>396</v>
      </c>
    </row>
    <row r="248" customFormat="false" ht="14.5" hidden="false" customHeight="false" outlineLevel="0" collapsed="false">
      <c r="A248" s="16" t="s">
        <v>818</v>
      </c>
      <c r="B248" s="17" t="s">
        <v>819</v>
      </c>
      <c r="C248" s="16" t="n">
        <v>3</v>
      </c>
      <c r="D248" s="16" t="s">
        <v>399</v>
      </c>
    </row>
    <row r="249" customFormat="false" ht="14.5" hidden="false" customHeight="false" outlineLevel="0" collapsed="false">
      <c r="A249" s="16" t="s">
        <v>820</v>
      </c>
      <c r="B249" s="17" t="s">
        <v>821</v>
      </c>
      <c r="C249" s="16" t="n">
        <v>3</v>
      </c>
      <c r="D249" s="16" t="s">
        <v>402</v>
      </c>
    </row>
    <row r="250" customFormat="false" ht="14.5" hidden="false" customHeight="false" outlineLevel="0" collapsed="false">
      <c r="A250" s="16" t="s">
        <v>822</v>
      </c>
      <c r="B250" s="17" t="s">
        <v>823</v>
      </c>
      <c r="C250" s="16" t="n">
        <v>3</v>
      </c>
      <c r="D250" s="16" t="s">
        <v>405</v>
      </c>
    </row>
    <row r="251" customFormat="false" ht="14.5" hidden="false" customHeight="false" outlineLevel="0" collapsed="false">
      <c r="A251" s="16" t="s">
        <v>824</v>
      </c>
      <c r="B251" s="17" t="s">
        <v>825</v>
      </c>
      <c r="C251" s="16" t="n">
        <v>3</v>
      </c>
      <c r="D251" s="16" t="s">
        <v>407</v>
      </c>
    </row>
    <row r="252" customFormat="false" ht="14.5" hidden="false" customHeight="false" outlineLevel="0" collapsed="false">
      <c r="A252" s="16" t="s">
        <v>826</v>
      </c>
      <c r="B252" s="17" t="s">
        <v>827</v>
      </c>
      <c r="C252" s="16" t="n">
        <v>3</v>
      </c>
      <c r="D252" s="16" t="s">
        <v>410</v>
      </c>
    </row>
    <row r="253" customFormat="false" ht="14.5" hidden="false" customHeight="false" outlineLevel="0" collapsed="false">
      <c r="A253" s="16" t="s">
        <v>828</v>
      </c>
      <c r="B253" s="17" t="s">
        <v>829</v>
      </c>
      <c r="C253" s="16" t="n">
        <v>3</v>
      </c>
      <c r="D253" s="16" t="s">
        <v>413</v>
      </c>
    </row>
    <row r="254" customFormat="false" ht="14.5" hidden="false" customHeight="false" outlineLevel="0" collapsed="false">
      <c r="A254" s="16" t="s">
        <v>830</v>
      </c>
      <c r="B254" s="17" t="s">
        <v>831</v>
      </c>
      <c r="C254" s="16" t="n">
        <v>3</v>
      </c>
      <c r="D254" s="16" t="s">
        <v>416</v>
      </c>
    </row>
    <row r="255" customFormat="false" ht="14.5" hidden="false" customHeight="false" outlineLevel="0" collapsed="false">
      <c r="A255" s="16" t="s">
        <v>832</v>
      </c>
      <c r="B255" s="17" t="s">
        <v>833</v>
      </c>
      <c r="C255" s="16" t="n">
        <v>3</v>
      </c>
      <c r="D255" s="16" t="s">
        <v>419</v>
      </c>
    </row>
    <row r="256" customFormat="false" ht="14.5" hidden="false" customHeight="false" outlineLevel="0" collapsed="false">
      <c r="A256" s="16" t="s">
        <v>834</v>
      </c>
      <c r="B256" s="17" t="s">
        <v>835</v>
      </c>
      <c r="C256" s="16" t="n">
        <v>3</v>
      </c>
      <c r="D256" s="16" t="s">
        <v>422</v>
      </c>
    </row>
    <row r="257" customFormat="false" ht="14.5" hidden="false" customHeight="false" outlineLevel="0" collapsed="false">
      <c r="A257" s="16" t="s">
        <v>836</v>
      </c>
      <c r="B257" s="17" t="s">
        <v>837</v>
      </c>
      <c r="C257" s="16" t="n">
        <v>3</v>
      </c>
      <c r="D257" s="16" t="s">
        <v>425</v>
      </c>
    </row>
    <row r="258" customFormat="false" ht="14.5" hidden="false" customHeight="false" outlineLevel="0" collapsed="false">
      <c r="A258" s="16" t="s">
        <v>838</v>
      </c>
      <c r="B258" s="17" t="s">
        <v>839</v>
      </c>
      <c r="C258" s="16" t="n">
        <v>3</v>
      </c>
      <c r="D258" s="16" t="s">
        <v>428</v>
      </c>
    </row>
    <row r="259" customFormat="false" ht="14.5" hidden="false" customHeight="false" outlineLevel="0" collapsed="false">
      <c r="A259" s="16" t="s">
        <v>840</v>
      </c>
      <c r="B259" s="17" t="s">
        <v>841</v>
      </c>
      <c r="C259" s="16" t="n">
        <v>3</v>
      </c>
      <c r="D259" s="16" t="s">
        <v>430</v>
      </c>
    </row>
    <row r="260" customFormat="false" ht="14.5" hidden="false" customHeight="false" outlineLevel="0" collapsed="false">
      <c r="A260" s="16" t="s">
        <v>842</v>
      </c>
      <c r="B260" s="17" t="s">
        <v>843</v>
      </c>
      <c r="C260" s="16" t="n">
        <v>3</v>
      </c>
      <c r="D260" s="16" t="s">
        <v>433</v>
      </c>
    </row>
    <row r="261" customFormat="false" ht="14.5" hidden="false" customHeight="false" outlineLevel="0" collapsed="false">
      <c r="A261" s="16" t="s">
        <v>844</v>
      </c>
      <c r="B261" s="17" t="s">
        <v>845</v>
      </c>
      <c r="C261" s="16" t="n">
        <v>3</v>
      </c>
      <c r="D261" s="16" t="s">
        <v>436</v>
      </c>
    </row>
    <row r="262" customFormat="false" ht="14.5" hidden="false" customHeight="false" outlineLevel="0" collapsed="false">
      <c r="A262" s="16" t="s">
        <v>846</v>
      </c>
      <c r="B262" s="17" t="s">
        <v>847</v>
      </c>
      <c r="C262" s="16" t="n">
        <v>3</v>
      </c>
      <c r="D262" s="16" t="s">
        <v>439</v>
      </c>
    </row>
    <row r="263" customFormat="false" ht="14.5" hidden="false" customHeight="false" outlineLevel="0" collapsed="false">
      <c r="A263" s="16" t="s">
        <v>848</v>
      </c>
      <c r="B263" s="17" t="s">
        <v>849</v>
      </c>
      <c r="C263" s="16" t="n">
        <v>3</v>
      </c>
      <c r="D263" s="16" t="s">
        <v>442</v>
      </c>
    </row>
    <row r="264" customFormat="false" ht="14.5" hidden="false" customHeight="false" outlineLevel="0" collapsed="false">
      <c r="A264" s="16" t="s">
        <v>850</v>
      </c>
      <c r="B264" s="17" t="s">
        <v>851</v>
      </c>
      <c r="C264" s="16" t="n">
        <v>3</v>
      </c>
      <c r="D264" s="16" t="s">
        <v>445</v>
      </c>
    </row>
    <row r="265" customFormat="false" ht="14.5" hidden="false" customHeight="false" outlineLevel="0" collapsed="false">
      <c r="A265" s="16" t="s">
        <v>852</v>
      </c>
      <c r="B265" s="17" t="s">
        <v>853</v>
      </c>
      <c r="C265" s="16" t="n">
        <v>3</v>
      </c>
      <c r="D265" s="16" t="s">
        <v>448</v>
      </c>
    </row>
    <row r="266" customFormat="false" ht="14.5" hidden="false" customHeight="false" outlineLevel="0" collapsed="false">
      <c r="A266" s="16" t="s">
        <v>854</v>
      </c>
      <c r="B266" s="17" t="s">
        <v>855</v>
      </c>
      <c r="C266" s="16" t="n">
        <v>3</v>
      </c>
      <c r="D266" s="16" t="s">
        <v>451</v>
      </c>
    </row>
    <row r="267" customFormat="false" ht="14.5" hidden="false" customHeight="false" outlineLevel="0" collapsed="false">
      <c r="A267" s="16" t="s">
        <v>856</v>
      </c>
      <c r="B267" s="17" t="s">
        <v>857</v>
      </c>
      <c r="C267" s="16" t="n">
        <v>3</v>
      </c>
      <c r="D267" s="16" t="s">
        <v>453</v>
      </c>
    </row>
    <row r="268" customFormat="false" ht="14.5" hidden="false" customHeight="false" outlineLevel="0" collapsed="false">
      <c r="A268" s="16" t="s">
        <v>858</v>
      </c>
      <c r="B268" s="17" t="s">
        <v>859</v>
      </c>
      <c r="C268" s="16" t="n">
        <v>3</v>
      </c>
      <c r="D268" s="16" t="s">
        <v>456</v>
      </c>
    </row>
    <row r="269" customFormat="false" ht="14.5" hidden="false" customHeight="false" outlineLevel="0" collapsed="false">
      <c r="A269" s="16" t="s">
        <v>860</v>
      </c>
      <c r="B269" s="17" t="s">
        <v>861</v>
      </c>
      <c r="C269" s="16" t="n">
        <v>3</v>
      </c>
      <c r="D269" s="16" t="s">
        <v>459</v>
      </c>
    </row>
    <row r="270" customFormat="false" ht="14.5" hidden="false" customHeight="false" outlineLevel="0" collapsed="false">
      <c r="A270" s="16" t="s">
        <v>862</v>
      </c>
      <c r="B270" s="17" t="s">
        <v>863</v>
      </c>
      <c r="C270" s="16" t="n">
        <v>3</v>
      </c>
      <c r="D270" s="16" t="s">
        <v>462</v>
      </c>
    </row>
    <row r="271" customFormat="false" ht="14.5" hidden="false" customHeight="false" outlineLevel="0" collapsed="false">
      <c r="A271" s="16" t="s">
        <v>864</v>
      </c>
      <c r="B271" s="17" t="s">
        <v>865</v>
      </c>
      <c r="C271" s="16" t="n">
        <v>3</v>
      </c>
      <c r="D271" s="16" t="s">
        <v>465</v>
      </c>
    </row>
    <row r="272" customFormat="false" ht="14.5" hidden="false" customHeight="false" outlineLevel="0" collapsed="false">
      <c r="A272" s="16" t="s">
        <v>866</v>
      </c>
      <c r="B272" s="17" t="s">
        <v>867</v>
      </c>
      <c r="C272" s="16" t="n">
        <v>3</v>
      </c>
      <c r="D272" s="16" t="s">
        <v>468</v>
      </c>
    </row>
    <row r="273" customFormat="false" ht="14.5" hidden="false" customHeight="false" outlineLevel="0" collapsed="false">
      <c r="A273" s="16" t="s">
        <v>868</v>
      </c>
      <c r="B273" s="17" t="s">
        <v>869</v>
      </c>
      <c r="C273" s="16" t="n">
        <v>3</v>
      </c>
      <c r="D273" s="16" t="s">
        <v>471</v>
      </c>
    </row>
    <row r="274" customFormat="false" ht="14.5" hidden="false" customHeight="false" outlineLevel="0" collapsed="false">
      <c r="A274" s="16" t="s">
        <v>870</v>
      </c>
      <c r="B274" s="17" t="s">
        <v>871</v>
      </c>
      <c r="C274" s="16" t="n">
        <v>3</v>
      </c>
      <c r="D274" s="16" t="s">
        <v>474</v>
      </c>
    </row>
    <row r="275" customFormat="false" ht="14.5" hidden="false" customHeight="false" outlineLevel="0" collapsed="false">
      <c r="A275" s="16" t="s">
        <v>872</v>
      </c>
      <c r="B275" s="17" t="s">
        <v>873</v>
      </c>
      <c r="C275" s="16" t="n">
        <v>3</v>
      </c>
      <c r="D275" s="16" t="s">
        <v>476</v>
      </c>
    </row>
    <row r="276" customFormat="false" ht="14.5" hidden="false" customHeight="false" outlineLevel="0" collapsed="false">
      <c r="A276" s="16" t="s">
        <v>874</v>
      </c>
      <c r="B276" s="17" t="s">
        <v>875</v>
      </c>
      <c r="C276" s="16" t="n">
        <v>3</v>
      </c>
      <c r="D276" s="16" t="s">
        <v>479</v>
      </c>
    </row>
    <row r="277" customFormat="false" ht="14.5" hidden="false" customHeight="false" outlineLevel="0" collapsed="false">
      <c r="A277" s="16" t="s">
        <v>876</v>
      </c>
      <c r="B277" s="17" t="s">
        <v>877</v>
      </c>
      <c r="C277" s="16" t="n">
        <v>3</v>
      </c>
      <c r="D277" s="16" t="s">
        <v>482</v>
      </c>
    </row>
    <row r="278" customFormat="false" ht="14.5" hidden="false" customHeight="false" outlineLevel="0" collapsed="false">
      <c r="A278" s="16" t="s">
        <v>878</v>
      </c>
      <c r="B278" s="17" t="s">
        <v>879</v>
      </c>
      <c r="C278" s="16" t="n">
        <v>3</v>
      </c>
      <c r="D278" s="16" t="s">
        <v>485</v>
      </c>
    </row>
    <row r="279" customFormat="false" ht="14.5" hidden="false" customHeight="false" outlineLevel="0" collapsed="false">
      <c r="A279" s="16" t="s">
        <v>880</v>
      </c>
      <c r="B279" s="17" t="s">
        <v>881</v>
      </c>
      <c r="C279" s="16" t="n">
        <v>3</v>
      </c>
      <c r="D279" s="16" t="s">
        <v>488</v>
      </c>
    </row>
    <row r="280" customFormat="false" ht="14.5" hidden="false" customHeight="false" outlineLevel="0" collapsed="false">
      <c r="A280" s="16" t="s">
        <v>882</v>
      </c>
      <c r="B280" s="17" t="s">
        <v>883</v>
      </c>
      <c r="C280" s="16" t="n">
        <v>3</v>
      </c>
      <c r="D280" s="16" t="s">
        <v>491</v>
      </c>
    </row>
    <row r="281" customFormat="false" ht="14.5" hidden="false" customHeight="false" outlineLevel="0" collapsed="false">
      <c r="A281" s="16" t="s">
        <v>884</v>
      </c>
      <c r="B281" s="17" t="s">
        <v>885</v>
      </c>
      <c r="C281" s="16" t="n">
        <v>3</v>
      </c>
      <c r="D281" s="16" t="s">
        <v>494</v>
      </c>
    </row>
    <row r="282" customFormat="false" ht="14.5" hidden="false" customHeight="false" outlineLevel="0" collapsed="false">
      <c r="A282" s="16" t="s">
        <v>886</v>
      </c>
      <c r="B282" s="17" t="s">
        <v>887</v>
      </c>
      <c r="C282" s="16" t="n">
        <v>3</v>
      </c>
      <c r="D282" s="16" t="s">
        <v>497</v>
      </c>
    </row>
    <row r="283" customFormat="false" ht="14.5" hidden="false" customHeight="false" outlineLevel="0" collapsed="false">
      <c r="A283" s="16" t="s">
        <v>888</v>
      </c>
      <c r="B283" s="17" t="s">
        <v>889</v>
      </c>
      <c r="C283" s="16" t="n">
        <v>3</v>
      </c>
      <c r="D283" s="16" t="s">
        <v>499</v>
      </c>
    </row>
    <row r="284" customFormat="false" ht="14.5" hidden="false" customHeight="false" outlineLevel="0" collapsed="false">
      <c r="A284" s="16" t="s">
        <v>890</v>
      </c>
      <c r="B284" s="17" t="s">
        <v>891</v>
      </c>
      <c r="C284" s="16" t="n">
        <v>3</v>
      </c>
      <c r="D284" s="16" t="s">
        <v>502</v>
      </c>
    </row>
    <row r="285" customFormat="false" ht="14.5" hidden="false" customHeight="false" outlineLevel="0" collapsed="false">
      <c r="A285" s="16" t="s">
        <v>892</v>
      </c>
      <c r="B285" s="17" t="s">
        <v>893</v>
      </c>
      <c r="C285" s="16" t="n">
        <v>3</v>
      </c>
      <c r="D285" s="16" t="s">
        <v>505</v>
      </c>
    </row>
    <row r="286" customFormat="false" ht="14.5" hidden="false" customHeight="false" outlineLevel="0" collapsed="false">
      <c r="A286" s="16" t="s">
        <v>894</v>
      </c>
      <c r="B286" s="17" t="s">
        <v>895</v>
      </c>
      <c r="C286" s="16" t="n">
        <v>3</v>
      </c>
      <c r="D286" s="16" t="s">
        <v>508</v>
      </c>
    </row>
    <row r="287" customFormat="false" ht="14.5" hidden="false" customHeight="false" outlineLevel="0" collapsed="false">
      <c r="A287" s="16" t="s">
        <v>896</v>
      </c>
      <c r="B287" s="17" t="s">
        <v>897</v>
      </c>
      <c r="C287" s="16" t="n">
        <v>3</v>
      </c>
      <c r="D287" s="16" t="s">
        <v>511</v>
      </c>
    </row>
    <row r="288" customFormat="false" ht="14.5" hidden="false" customHeight="false" outlineLevel="0" collapsed="false">
      <c r="A288" s="16" t="s">
        <v>898</v>
      </c>
      <c r="B288" s="17" t="s">
        <v>899</v>
      </c>
      <c r="C288" s="16" t="n">
        <v>3</v>
      </c>
      <c r="D288" s="16" t="s">
        <v>514</v>
      </c>
    </row>
    <row r="289" customFormat="false" ht="14.5" hidden="false" customHeight="false" outlineLevel="0" collapsed="false">
      <c r="A289" s="16" t="s">
        <v>900</v>
      </c>
      <c r="B289" s="17" t="s">
        <v>901</v>
      </c>
      <c r="C289" s="16" t="n">
        <v>3</v>
      </c>
      <c r="D289" s="16" t="s">
        <v>517</v>
      </c>
    </row>
    <row r="290" customFormat="false" ht="14.5" hidden="false" customHeight="false" outlineLevel="0" collapsed="false">
      <c r="A290" s="16" t="s">
        <v>902</v>
      </c>
      <c r="B290" s="17" t="s">
        <v>903</v>
      </c>
      <c r="C290" s="16" t="n">
        <v>4</v>
      </c>
      <c r="D290" s="16" t="s">
        <v>243</v>
      </c>
    </row>
    <row r="291" customFormat="false" ht="14.5" hidden="false" customHeight="false" outlineLevel="0" collapsed="false">
      <c r="A291" s="16" t="s">
        <v>904</v>
      </c>
      <c r="B291" s="17" t="s">
        <v>905</v>
      </c>
      <c r="C291" s="16" t="n">
        <v>4</v>
      </c>
      <c r="D291" s="16" t="s">
        <v>246</v>
      </c>
    </row>
    <row r="292" customFormat="false" ht="14.5" hidden="false" customHeight="false" outlineLevel="0" collapsed="false">
      <c r="A292" s="16" t="s">
        <v>906</v>
      </c>
      <c r="B292" s="17" t="s">
        <v>907</v>
      </c>
      <c r="C292" s="16" t="n">
        <v>4</v>
      </c>
      <c r="D292" s="16" t="s">
        <v>248</v>
      </c>
    </row>
    <row r="293" customFormat="false" ht="14.5" hidden="false" customHeight="false" outlineLevel="0" collapsed="false">
      <c r="A293" s="16" t="s">
        <v>908</v>
      </c>
      <c r="B293" s="17" t="s">
        <v>909</v>
      </c>
      <c r="C293" s="16" t="n">
        <v>4</v>
      </c>
      <c r="D293" s="16" t="s">
        <v>251</v>
      </c>
    </row>
    <row r="294" customFormat="false" ht="14.5" hidden="false" customHeight="false" outlineLevel="0" collapsed="false">
      <c r="A294" s="16" t="s">
        <v>910</v>
      </c>
      <c r="B294" s="17" t="s">
        <v>911</v>
      </c>
      <c r="C294" s="16" t="n">
        <v>4</v>
      </c>
      <c r="D294" s="16" t="s">
        <v>254</v>
      </c>
    </row>
    <row r="295" customFormat="false" ht="14.5" hidden="false" customHeight="false" outlineLevel="0" collapsed="false">
      <c r="A295" s="16" t="s">
        <v>912</v>
      </c>
      <c r="B295" s="17" t="s">
        <v>913</v>
      </c>
      <c r="C295" s="16" t="n">
        <v>4</v>
      </c>
      <c r="D295" s="16" t="s">
        <v>257</v>
      </c>
    </row>
    <row r="296" customFormat="false" ht="14.5" hidden="false" customHeight="false" outlineLevel="0" collapsed="false">
      <c r="A296" s="16" t="s">
        <v>914</v>
      </c>
      <c r="B296" s="17" t="s">
        <v>915</v>
      </c>
      <c r="C296" s="16" t="n">
        <v>4</v>
      </c>
      <c r="D296" s="16" t="s">
        <v>260</v>
      </c>
    </row>
    <row r="297" customFormat="false" ht="14.5" hidden="false" customHeight="false" outlineLevel="0" collapsed="false">
      <c r="A297" s="16" t="s">
        <v>916</v>
      </c>
      <c r="B297" s="17" t="s">
        <v>917</v>
      </c>
      <c r="C297" s="16" t="n">
        <v>4</v>
      </c>
      <c r="D297" s="16" t="s">
        <v>263</v>
      </c>
    </row>
    <row r="298" customFormat="false" ht="14.5" hidden="false" customHeight="false" outlineLevel="0" collapsed="false">
      <c r="A298" s="16" t="s">
        <v>918</v>
      </c>
      <c r="B298" s="17" t="s">
        <v>919</v>
      </c>
      <c r="C298" s="16" t="n">
        <v>4</v>
      </c>
      <c r="D298" s="16" t="s">
        <v>266</v>
      </c>
    </row>
    <row r="299" customFormat="false" ht="14.5" hidden="false" customHeight="false" outlineLevel="0" collapsed="false">
      <c r="A299" s="16" t="s">
        <v>920</v>
      </c>
      <c r="B299" s="17" t="s">
        <v>921</v>
      </c>
      <c r="C299" s="16" t="n">
        <v>4</v>
      </c>
      <c r="D299" s="16" t="s">
        <v>269</v>
      </c>
    </row>
    <row r="300" customFormat="false" ht="14.5" hidden="false" customHeight="false" outlineLevel="0" collapsed="false">
      <c r="A300" s="16" t="s">
        <v>922</v>
      </c>
      <c r="B300" s="17" t="s">
        <v>923</v>
      </c>
      <c r="C300" s="16" t="n">
        <v>4</v>
      </c>
      <c r="D300" s="16" t="s">
        <v>271</v>
      </c>
    </row>
    <row r="301" customFormat="false" ht="14.5" hidden="false" customHeight="false" outlineLevel="0" collapsed="false">
      <c r="A301" s="16" t="s">
        <v>924</v>
      </c>
      <c r="B301" s="17" t="s">
        <v>925</v>
      </c>
      <c r="C301" s="16" t="n">
        <v>4</v>
      </c>
      <c r="D301" s="16" t="s">
        <v>274</v>
      </c>
    </row>
    <row r="302" customFormat="false" ht="14.5" hidden="false" customHeight="false" outlineLevel="0" collapsed="false">
      <c r="A302" s="16" t="s">
        <v>926</v>
      </c>
      <c r="B302" s="17" t="s">
        <v>927</v>
      </c>
      <c r="C302" s="16" t="n">
        <v>4</v>
      </c>
      <c r="D302" s="16" t="s">
        <v>277</v>
      </c>
    </row>
    <row r="303" customFormat="false" ht="14.5" hidden="false" customHeight="false" outlineLevel="0" collapsed="false">
      <c r="A303" s="16" t="s">
        <v>928</v>
      </c>
      <c r="B303" s="17" t="s">
        <v>929</v>
      </c>
      <c r="C303" s="16" t="n">
        <v>4</v>
      </c>
      <c r="D303" s="16" t="s">
        <v>280</v>
      </c>
    </row>
    <row r="304" customFormat="false" ht="14.5" hidden="false" customHeight="false" outlineLevel="0" collapsed="false">
      <c r="A304" s="16" t="s">
        <v>930</v>
      </c>
      <c r="B304" s="17" t="s">
        <v>931</v>
      </c>
      <c r="C304" s="16" t="n">
        <v>4</v>
      </c>
      <c r="D304" s="16" t="s">
        <v>283</v>
      </c>
    </row>
    <row r="305" customFormat="false" ht="14.5" hidden="false" customHeight="false" outlineLevel="0" collapsed="false">
      <c r="A305" s="16" t="s">
        <v>932</v>
      </c>
      <c r="B305" s="17" t="s">
        <v>933</v>
      </c>
      <c r="C305" s="16" t="n">
        <v>4</v>
      </c>
      <c r="D305" s="16" t="s">
        <v>286</v>
      </c>
    </row>
    <row r="306" customFormat="false" ht="14.5" hidden="false" customHeight="false" outlineLevel="0" collapsed="false">
      <c r="A306" s="16" t="s">
        <v>934</v>
      </c>
      <c r="B306" s="17" t="s">
        <v>935</v>
      </c>
      <c r="C306" s="16" t="n">
        <v>4</v>
      </c>
      <c r="D306" s="16" t="s">
        <v>289</v>
      </c>
    </row>
    <row r="307" customFormat="false" ht="14.5" hidden="false" customHeight="false" outlineLevel="0" collapsed="false">
      <c r="A307" s="16" t="s">
        <v>936</v>
      </c>
      <c r="B307" s="17" t="s">
        <v>937</v>
      </c>
      <c r="C307" s="16" t="n">
        <v>4</v>
      </c>
      <c r="D307" s="16" t="s">
        <v>292</v>
      </c>
    </row>
    <row r="308" customFormat="false" ht="14.5" hidden="false" customHeight="false" outlineLevel="0" collapsed="false">
      <c r="A308" s="16" t="s">
        <v>938</v>
      </c>
      <c r="B308" s="17" t="s">
        <v>939</v>
      </c>
      <c r="C308" s="16" t="n">
        <v>4</v>
      </c>
      <c r="D308" s="16" t="s">
        <v>294</v>
      </c>
    </row>
    <row r="309" customFormat="false" ht="14.5" hidden="false" customHeight="false" outlineLevel="0" collapsed="false">
      <c r="A309" s="16" t="s">
        <v>940</v>
      </c>
      <c r="B309" s="17" t="s">
        <v>941</v>
      </c>
      <c r="C309" s="16" t="n">
        <v>4</v>
      </c>
      <c r="D309" s="16" t="s">
        <v>297</v>
      </c>
    </row>
    <row r="310" customFormat="false" ht="14.5" hidden="false" customHeight="false" outlineLevel="0" collapsed="false">
      <c r="A310" s="16" t="s">
        <v>942</v>
      </c>
      <c r="B310" s="17" t="s">
        <v>943</v>
      </c>
      <c r="C310" s="16" t="n">
        <v>4</v>
      </c>
      <c r="D310" s="16" t="s">
        <v>300</v>
      </c>
    </row>
    <row r="311" customFormat="false" ht="14.5" hidden="false" customHeight="false" outlineLevel="0" collapsed="false">
      <c r="A311" s="16" t="s">
        <v>944</v>
      </c>
      <c r="B311" s="17" t="s">
        <v>945</v>
      </c>
      <c r="C311" s="16" t="n">
        <v>4</v>
      </c>
      <c r="D311" s="16" t="s">
        <v>303</v>
      </c>
    </row>
    <row r="312" customFormat="false" ht="14.5" hidden="false" customHeight="false" outlineLevel="0" collapsed="false">
      <c r="A312" s="16" t="s">
        <v>946</v>
      </c>
      <c r="B312" s="17" t="s">
        <v>947</v>
      </c>
      <c r="C312" s="16" t="n">
        <v>4</v>
      </c>
      <c r="D312" s="16" t="s">
        <v>306</v>
      </c>
    </row>
    <row r="313" customFormat="false" ht="14.5" hidden="false" customHeight="false" outlineLevel="0" collapsed="false">
      <c r="A313" s="16" t="s">
        <v>948</v>
      </c>
      <c r="B313" s="17" t="s">
        <v>949</v>
      </c>
      <c r="C313" s="16" t="n">
        <v>4</v>
      </c>
      <c r="D313" s="16" t="s">
        <v>309</v>
      </c>
    </row>
    <row r="314" customFormat="false" ht="14.5" hidden="false" customHeight="false" outlineLevel="0" collapsed="false">
      <c r="A314" s="16" t="s">
        <v>950</v>
      </c>
      <c r="B314" s="17" t="s">
        <v>951</v>
      </c>
      <c r="C314" s="16" t="n">
        <v>4</v>
      </c>
      <c r="D314" s="16" t="s">
        <v>312</v>
      </c>
    </row>
    <row r="315" customFormat="false" ht="14.5" hidden="false" customHeight="false" outlineLevel="0" collapsed="false">
      <c r="A315" s="16" t="s">
        <v>952</v>
      </c>
      <c r="B315" s="17" t="s">
        <v>953</v>
      </c>
      <c r="C315" s="16" t="n">
        <v>4</v>
      </c>
      <c r="D315" s="16" t="s">
        <v>315</v>
      </c>
    </row>
    <row r="316" customFormat="false" ht="14.5" hidden="false" customHeight="false" outlineLevel="0" collapsed="false">
      <c r="A316" s="16" t="s">
        <v>954</v>
      </c>
      <c r="B316" s="17" t="s">
        <v>955</v>
      </c>
      <c r="C316" s="16" t="n">
        <v>4</v>
      </c>
      <c r="D316" s="16" t="s">
        <v>317</v>
      </c>
    </row>
    <row r="317" customFormat="false" ht="14.5" hidden="false" customHeight="false" outlineLevel="0" collapsed="false">
      <c r="A317" s="16" t="s">
        <v>956</v>
      </c>
      <c r="B317" s="17" t="s">
        <v>957</v>
      </c>
      <c r="C317" s="16" t="n">
        <v>4</v>
      </c>
      <c r="D317" s="16" t="s">
        <v>320</v>
      </c>
    </row>
    <row r="318" customFormat="false" ht="14.5" hidden="false" customHeight="false" outlineLevel="0" collapsed="false">
      <c r="A318" s="16" t="s">
        <v>958</v>
      </c>
      <c r="B318" s="17" t="s">
        <v>959</v>
      </c>
      <c r="C318" s="16" t="n">
        <v>4</v>
      </c>
      <c r="D318" s="16" t="s">
        <v>323</v>
      </c>
    </row>
    <row r="319" customFormat="false" ht="14.5" hidden="false" customHeight="false" outlineLevel="0" collapsed="false">
      <c r="A319" s="16" t="s">
        <v>960</v>
      </c>
      <c r="B319" s="17" t="s">
        <v>961</v>
      </c>
      <c r="C319" s="16" t="n">
        <v>4</v>
      </c>
      <c r="D319" s="16" t="s">
        <v>326</v>
      </c>
    </row>
    <row r="320" customFormat="false" ht="14.5" hidden="false" customHeight="false" outlineLevel="0" collapsed="false">
      <c r="A320" s="16" t="s">
        <v>962</v>
      </c>
      <c r="B320" s="17" t="s">
        <v>963</v>
      </c>
      <c r="C320" s="16" t="n">
        <v>4</v>
      </c>
      <c r="D320" s="16" t="s">
        <v>329</v>
      </c>
    </row>
    <row r="321" customFormat="false" ht="14.5" hidden="false" customHeight="false" outlineLevel="0" collapsed="false">
      <c r="A321" s="16" t="s">
        <v>964</v>
      </c>
      <c r="B321" s="17" t="s">
        <v>965</v>
      </c>
      <c r="C321" s="16" t="n">
        <v>4</v>
      </c>
      <c r="D321" s="16" t="s">
        <v>332</v>
      </c>
    </row>
    <row r="322" customFormat="false" ht="14.5" hidden="false" customHeight="false" outlineLevel="0" collapsed="false">
      <c r="A322" s="16" t="s">
        <v>966</v>
      </c>
      <c r="B322" s="17" t="s">
        <v>967</v>
      </c>
      <c r="C322" s="16" t="n">
        <v>4</v>
      </c>
      <c r="D322" s="16" t="s">
        <v>335</v>
      </c>
    </row>
    <row r="323" customFormat="false" ht="14.5" hidden="false" customHeight="false" outlineLevel="0" collapsed="false">
      <c r="A323" s="16" t="s">
        <v>968</v>
      </c>
      <c r="B323" s="17" t="s">
        <v>969</v>
      </c>
      <c r="C323" s="16" t="n">
        <v>4</v>
      </c>
      <c r="D323" s="16" t="s">
        <v>338</v>
      </c>
    </row>
    <row r="324" customFormat="false" ht="14.5" hidden="false" customHeight="false" outlineLevel="0" collapsed="false">
      <c r="A324" s="16" t="s">
        <v>970</v>
      </c>
      <c r="B324" s="17" t="s">
        <v>971</v>
      </c>
      <c r="C324" s="16" t="n">
        <v>4</v>
      </c>
      <c r="D324" s="16" t="s">
        <v>340</v>
      </c>
    </row>
    <row r="325" customFormat="false" ht="14.5" hidden="false" customHeight="false" outlineLevel="0" collapsed="false">
      <c r="A325" s="16" t="s">
        <v>972</v>
      </c>
      <c r="B325" s="17" t="s">
        <v>973</v>
      </c>
      <c r="C325" s="16" t="n">
        <v>4</v>
      </c>
      <c r="D325" s="16" t="s">
        <v>343</v>
      </c>
    </row>
    <row r="326" customFormat="false" ht="14.5" hidden="false" customHeight="false" outlineLevel="0" collapsed="false">
      <c r="A326" s="16" t="s">
        <v>974</v>
      </c>
      <c r="B326" s="17" t="s">
        <v>975</v>
      </c>
      <c r="C326" s="16" t="n">
        <v>4</v>
      </c>
      <c r="D326" s="16" t="s">
        <v>346</v>
      </c>
    </row>
    <row r="327" customFormat="false" ht="14.5" hidden="false" customHeight="false" outlineLevel="0" collapsed="false">
      <c r="A327" s="16" t="s">
        <v>976</v>
      </c>
      <c r="B327" s="17" t="s">
        <v>977</v>
      </c>
      <c r="C327" s="16" t="n">
        <v>4</v>
      </c>
      <c r="D327" s="16" t="s">
        <v>349</v>
      </c>
    </row>
    <row r="328" customFormat="false" ht="14.5" hidden="false" customHeight="false" outlineLevel="0" collapsed="false">
      <c r="A328" s="16" t="s">
        <v>978</v>
      </c>
      <c r="B328" s="17" t="s">
        <v>979</v>
      </c>
      <c r="C328" s="16" t="n">
        <v>4</v>
      </c>
      <c r="D328" s="16" t="s">
        <v>352</v>
      </c>
    </row>
    <row r="329" customFormat="false" ht="14.5" hidden="false" customHeight="false" outlineLevel="0" collapsed="false">
      <c r="A329" s="16" t="s">
        <v>980</v>
      </c>
      <c r="B329" s="17" t="s">
        <v>981</v>
      </c>
      <c r="C329" s="16" t="n">
        <v>4</v>
      </c>
      <c r="D329" s="16" t="s">
        <v>355</v>
      </c>
    </row>
    <row r="330" customFormat="false" ht="14.5" hidden="false" customHeight="false" outlineLevel="0" collapsed="false">
      <c r="A330" s="16" t="s">
        <v>982</v>
      </c>
      <c r="B330" s="17" t="s">
        <v>983</v>
      </c>
      <c r="C330" s="16" t="n">
        <v>4</v>
      </c>
      <c r="D330" s="16" t="s">
        <v>358</v>
      </c>
    </row>
    <row r="331" customFormat="false" ht="14.5" hidden="false" customHeight="false" outlineLevel="0" collapsed="false">
      <c r="A331" s="16" t="s">
        <v>984</v>
      </c>
      <c r="B331" s="17" t="s">
        <v>985</v>
      </c>
      <c r="C331" s="16" t="n">
        <v>4</v>
      </c>
      <c r="D331" s="16" t="s">
        <v>361</v>
      </c>
    </row>
    <row r="332" customFormat="false" ht="14.5" hidden="false" customHeight="false" outlineLevel="0" collapsed="false">
      <c r="A332" s="16" t="s">
        <v>986</v>
      </c>
      <c r="B332" s="17" t="s">
        <v>987</v>
      </c>
      <c r="C332" s="16" t="n">
        <v>4</v>
      </c>
      <c r="D332" s="16" t="s">
        <v>363</v>
      </c>
    </row>
    <row r="333" customFormat="false" ht="14.5" hidden="false" customHeight="false" outlineLevel="0" collapsed="false">
      <c r="A333" s="16" t="s">
        <v>988</v>
      </c>
      <c r="B333" s="17" t="s">
        <v>989</v>
      </c>
      <c r="C333" s="16" t="n">
        <v>4</v>
      </c>
      <c r="D333" s="16" t="s">
        <v>366</v>
      </c>
    </row>
    <row r="334" customFormat="false" ht="14.5" hidden="false" customHeight="false" outlineLevel="0" collapsed="false">
      <c r="A334" s="16" t="s">
        <v>990</v>
      </c>
      <c r="B334" s="17" t="s">
        <v>991</v>
      </c>
      <c r="C334" s="16" t="n">
        <v>4</v>
      </c>
      <c r="D334" s="16" t="s">
        <v>369</v>
      </c>
    </row>
    <row r="335" customFormat="false" ht="14.5" hidden="false" customHeight="false" outlineLevel="0" collapsed="false">
      <c r="A335" s="16" t="s">
        <v>992</v>
      </c>
      <c r="B335" s="17" t="s">
        <v>993</v>
      </c>
      <c r="C335" s="16" t="n">
        <v>4</v>
      </c>
      <c r="D335" s="16" t="s">
        <v>372</v>
      </c>
    </row>
    <row r="336" customFormat="false" ht="14.5" hidden="false" customHeight="false" outlineLevel="0" collapsed="false">
      <c r="A336" s="16" t="s">
        <v>994</v>
      </c>
      <c r="B336" s="17" t="s">
        <v>995</v>
      </c>
      <c r="C336" s="16" t="n">
        <v>4</v>
      </c>
      <c r="D336" s="16" t="s">
        <v>375</v>
      </c>
    </row>
    <row r="337" customFormat="false" ht="14.5" hidden="false" customHeight="false" outlineLevel="0" collapsed="false">
      <c r="A337" s="16" t="s">
        <v>996</v>
      </c>
      <c r="B337" s="17" t="s">
        <v>997</v>
      </c>
      <c r="C337" s="16" t="n">
        <v>4</v>
      </c>
      <c r="D337" s="16" t="s">
        <v>378</v>
      </c>
    </row>
    <row r="338" customFormat="false" ht="14.5" hidden="false" customHeight="false" outlineLevel="0" collapsed="false">
      <c r="A338" s="16" t="s">
        <v>998</v>
      </c>
      <c r="B338" s="17" t="s">
        <v>999</v>
      </c>
      <c r="C338" s="16" t="n">
        <v>4</v>
      </c>
      <c r="D338" s="16" t="s">
        <v>381</v>
      </c>
    </row>
    <row r="339" customFormat="false" ht="14.5" hidden="false" customHeight="false" outlineLevel="0" collapsed="false">
      <c r="A339" s="16" t="s">
        <v>1000</v>
      </c>
      <c r="B339" s="17" t="s">
        <v>1001</v>
      </c>
      <c r="C339" s="16" t="n">
        <v>4</v>
      </c>
      <c r="D339" s="16" t="s">
        <v>384</v>
      </c>
    </row>
    <row r="340" customFormat="false" ht="14.5" hidden="false" customHeight="false" outlineLevel="0" collapsed="false">
      <c r="A340" s="16" t="s">
        <v>1002</v>
      </c>
      <c r="B340" s="17" t="s">
        <v>1003</v>
      </c>
      <c r="C340" s="16" t="n">
        <v>4</v>
      </c>
      <c r="D340" s="16" t="s">
        <v>387</v>
      </c>
    </row>
    <row r="341" customFormat="false" ht="14.5" hidden="false" customHeight="false" outlineLevel="0" collapsed="false">
      <c r="A341" s="16" t="s">
        <v>1004</v>
      </c>
      <c r="B341" s="17" t="s">
        <v>1005</v>
      </c>
      <c r="C341" s="16" t="n">
        <v>4</v>
      </c>
      <c r="D341" s="16" t="s">
        <v>390</v>
      </c>
    </row>
    <row r="342" customFormat="false" ht="14.5" hidden="false" customHeight="false" outlineLevel="0" collapsed="false">
      <c r="A342" s="16" t="s">
        <v>1006</v>
      </c>
      <c r="B342" s="17" t="s">
        <v>1007</v>
      </c>
      <c r="C342" s="16" t="n">
        <v>4</v>
      </c>
      <c r="D342" s="16" t="s">
        <v>393</v>
      </c>
    </row>
    <row r="343" customFormat="false" ht="14.5" hidden="false" customHeight="false" outlineLevel="0" collapsed="false">
      <c r="A343" s="16" t="s">
        <v>1008</v>
      </c>
      <c r="B343" s="17" t="s">
        <v>1009</v>
      </c>
      <c r="C343" s="16" t="n">
        <v>4</v>
      </c>
      <c r="D343" s="16" t="s">
        <v>396</v>
      </c>
    </row>
    <row r="344" customFormat="false" ht="14.5" hidden="false" customHeight="false" outlineLevel="0" collapsed="false">
      <c r="A344" s="16" t="s">
        <v>1010</v>
      </c>
      <c r="B344" s="17" t="s">
        <v>1011</v>
      </c>
      <c r="C344" s="16" t="n">
        <v>4</v>
      </c>
      <c r="D344" s="16" t="s">
        <v>399</v>
      </c>
    </row>
    <row r="345" customFormat="false" ht="14.5" hidden="false" customHeight="false" outlineLevel="0" collapsed="false">
      <c r="A345" s="16" t="s">
        <v>1012</v>
      </c>
      <c r="B345" s="17" t="s">
        <v>1013</v>
      </c>
      <c r="C345" s="16" t="n">
        <v>4</v>
      </c>
      <c r="D345" s="16" t="s">
        <v>402</v>
      </c>
    </row>
    <row r="346" customFormat="false" ht="14.5" hidden="false" customHeight="false" outlineLevel="0" collapsed="false">
      <c r="A346" s="16" t="s">
        <v>1014</v>
      </c>
      <c r="B346" s="17" t="s">
        <v>1015</v>
      </c>
      <c r="C346" s="16" t="n">
        <v>4</v>
      </c>
      <c r="D346" s="16" t="s">
        <v>405</v>
      </c>
    </row>
    <row r="347" customFormat="false" ht="14.5" hidden="false" customHeight="false" outlineLevel="0" collapsed="false">
      <c r="A347" s="16" t="s">
        <v>1016</v>
      </c>
      <c r="B347" s="17" t="s">
        <v>1017</v>
      </c>
      <c r="C347" s="16" t="n">
        <v>4</v>
      </c>
      <c r="D347" s="16" t="s">
        <v>407</v>
      </c>
    </row>
    <row r="348" customFormat="false" ht="14.5" hidden="false" customHeight="false" outlineLevel="0" collapsed="false">
      <c r="A348" s="16" t="s">
        <v>1018</v>
      </c>
      <c r="B348" s="17" t="s">
        <v>1019</v>
      </c>
      <c r="C348" s="16" t="n">
        <v>4</v>
      </c>
      <c r="D348" s="16" t="s">
        <v>410</v>
      </c>
    </row>
    <row r="349" customFormat="false" ht="14.5" hidden="false" customHeight="false" outlineLevel="0" collapsed="false">
      <c r="A349" s="16" t="s">
        <v>1020</v>
      </c>
      <c r="B349" s="17" t="s">
        <v>1021</v>
      </c>
      <c r="C349" s="16" t="n">
        <v>4</v>
      </c>
      <c r="D349" s="16" t="s">
        <v>413</v>
      </c>
    </row>
    <row r="350" customFormat="false" ht="14.5" hidden="false" customHeight="false" outlineLevel="0" collapsed="false">
      <c r="A350" s="16" t="s">
        <v>1022</v>
      </c>
      <c r="B350" s="17" t="s">
        <v>1023</v>
      </c>
      <c r="C350" s="16" t="n">
        <v>4</v>
      </c>
      <c r="D350" s="16" t="s">
        <v>416</v>
      </c>
    </row>
    <row r="351" customFormat="false" ht="14.5" hidden="false" customHeight="false" outlineLevel="0" collapsed="false">
      <c r="A351" s="16" t="s">
        <v>1024</v>
      </c>
      <c r="B351" s="17" t="s">
        <v>1025</v>
      </c>
      <c r="C351" s="16" t="n">
        <v>4</v>
      </c>
      <c r="D351" s="16" t="s">
        <v>419</v>
      </c>
    </row>
    <row r="352" customFormat="false" ht="14.5" hidden="false" customHeight="false" outlineLevel="0" collapsed="false">
      <c r="A352" s="16" t="s">
        <v>1026</v>
      </c>
      <c r="B352" s="17" t="s">
        <v>1027</v>
      </c>
      <c r="C352" s="16" t="n">
        <v>4</v>
      </c>
      <c r="D352" s="16" t="s">
        <v>422</v>
      </c>
    </row>
    <row r="353" customFormat="false" ht="14.5" hidden="false" customHeight="false" outlineLevel="0" collapsed="false">
      <c r="A353" s="16" t="s">
        <v>1028</v>
      </c>
      <c r="B353" s="17" t="s">
        <v>1029</v>
      </c>
      <c r="C353" s="16" t="n">
        <v>4</v>
      </c>
      <c r="D353" s="16" t="s">
        <v>425</v>
      </c>
    </row>
    <row r="354" customFormat="false" ht="14.5" hidden="false" customHeight="false" outlineLevel="0" collapsed="false">
      <c r="A354" s="16" t="s">
        <v>1030</v>
      </c>
      <c r="B354" s="17" t="s">
        <v>1031</v>
      </c>
      <c r="C354" s="16" t="n">
        <v>4</v>
      </c>
      <c r="D354" s="16" t="s">
        <v>428</v>
      </c>
    </row>
    <row r="355" customFormat="false" ht="14.5" hidden="false" customHeight="false" outlineLevel="0" collapsed="false">
      <c r="A355" s="16" t="s">
        <v>1032</v>
      </c>
      <c r="B355" s="17" t="s">
        <v>1033</v>
      </c>
      <c r="C355" s="16" t="n">
        <v>4</v>
      </c>
      <c r="D355" s="16" t="s">
        <v>430</v>
      </c>
    </row>
    <row r="356" customFormat="false" ht="14.5" hidden="false" customHeight="false" outlineLevel="0" collapsed="false">
      <c r="A356" s="16" t="s">
        <v>1034</v>
      </c>
      <c r="B356" s="17" t="s">
        <v>1035</v>
      </c>
      <c r="C356" s="16" t="n">
        <v>4</v>
      </c>
      <c r="D356" s="16" t="s">
        <v>433</v>
      </c>
    </row>
    <row r="357" customFormat="false" ht="14.5" hidden="false" customHeight="false" outlineLevel="0" collapsed="false">
      <c r="A357" s="16" t="s">
        <v>1036</v>
      </c>
      <c r="B357" s="17" t="s">
        <v>1037</v>
      </c>
      <c r="C357" s="16" t="n">
        <v>4</v>
      </c>
      <c r="D357" s="16" t="s">
        <v>436</v>
      </c>
    </row>
    <row r="358" customFormat="false" ht="14.5" hidden="false" customHeight="false" outlineLevel="0" collapsed="false">
      <c r="A358" s="16" t="s">
        <v>1038</v>
      </c>
      <c r="B358" s="17" t="s">
        <v>1039</v>
      </c>
      <c r="C358" s="16" t="n">
        <v>4</v>
      </c>
      <c r="D358" s="16" t="s">
        <v>439</v>
      </c>
    </row>
    <row r="359" customFormat="false" ht="14.5" hidden="false" customHeight="false" outlineLevel="0" collapsed="false">
      <c r="A359" s="16" t="s">
        <v>1040</v>
      </c>
      <c r="B359" s="17" t="s">
        <v>1041</v>
      </c>
      <c r="C359" s="16" t="n">
        <v>4</v>
      </c>
      <c r="D359" s="16" t="s">
        <v>442</v>
      </c>
    </row>
    <row r="360" customFormat="false" ht="14.5" hidden="false" customHeight="false" outlineLevel="0" collapsed="false">
      <c r="A360" s="16" t="s">
        <v>1042</v>
      </c>
      <c r="B360" s="17" t="s">
        <v>1043</v>
      </c>
      <c r="C360" s="16" t="n">
        <v>4</v>
      </c>
      <c r="D360" s="16" t="s">
        <v>445</v>
      </c>
    </row>
    <row r="361" customFormat="false" ht="14.5" hidden="false" customHeight="false" outlineLevel="0" collapsed="false">
      <c r="A361" s="16" t="s">
        <v>1044</v>
      </c>
      <c r="B361" s="17" t="s">
        <v>1045</v>
      </c>
      <c r="C361" s="16" t="n">
        <v>4</v>
      </c>
      <c r="D361" s="16" t="s">
        <v>448</v>
      </c>
    </row>
    <row r="362" customFormat="false" ht="14.5" hidden="false" customHeight="false" outlineLevel="0" collapsed="false">
      <c r="A362" s="16" t="s">
        <v>1046</v>
      </c>
      <c r="B362" s="17" t="s">
        <v>1047</v>
      </c>
      <c r="C362" s="16" t="n">
        <v>4</v>
      </c>
      <c r="D362" s="16" t="s">
        <v>451</v>
      </c>
    </row>
    <row r="363" customFormat="false" ht="14.5" hidden="false" customHeight="false" outlineLevel="0" collapsed="false">
      <c r="A363" s="16" t="s">
        <v>1048</v>
      </c>
      <c r="B363" s="17" t="s">
        <v>1049</v>
      </c>
      <c r="C363" s="16" t="n">
        <v>4</v>
      </c>
      <c r="D363" s="16" t="s">
        <v>453</v>
      </c>
    </row>
    <row r="364" customFormat="false" ht="14.5" hidden="false" customHeight="false" outlineLevel="0" collapsed="false">
      <c r="A364" s="16" t="s">
        <v>1050</v>
      </c>
      <c r="B364" s="17" t="s">
        <v>1051</v>
      </c>
      <c r="C364" s="16" t="n">
        <v>4</v>
      </c>
      <c r="D364" s="16" t="s">
        <v>456</v>
      </c>
    </row>
    <row r="365" customFormat="false" ht="14.5" hidden="false" customHeight="false" outlineLevel="0" collapsed="false">
      <c r="A365" s="16" t="s">
        <v>1052</v>
      </c>
      <c r="B365" s="17" t="s">
        <v>1053</v>
      </c>
      <c r="C365" s="16" t="n">
        <v>4</v>
      </c>
      <c r="D365" s="16" t="s">
        <v>459</v>
      </c>
    </row>
    <row r="366" customFormat="false" ht="14.5" hidden="false" customHeight="false" outlineLevel="0" collapsed="false">
      <c r="A366" s="16" t="s">
        <v>1054</v>
      </c>
      <c r="B366" s="17" t="s">
        <v>1055</v>
      </c>
      <c r="C366" s="16" t="n">
        <v>4</v>
      </c>
      <c r="D366" s="16" t="s">
        <v>462</v>
      </c>
    </row>
    <row r="367" customFormat="false" ht="14.5" hidden="false" customHeight="false" outlineLevel="0" collapsed="false">
      <c r="A367" s="16" t="s">
        <v>1056</v>
      </c>
      <c r="B367" s="17" t="s">
        <v>1057</v>
      </c>
      <c r="C367" s="16" t="n">
        <v>4</v>
      </c>
      <c r="D367" s="16" t="s">
        <v>465</v>
      </c>
    </row>
    <row r="368" customFormat="false" ht="14.5" hidden="false" customHeight="false" outlineLevel="0" collapsed="false">
      <c r="A368" s="16" t="s">
        <v>1058</v>
      </c>
      <c r="B368" s="17" t="s">
        <v>1059</v>
      </c>
      <c r="C368" s="16" t="n">
        <v>4</v>
      </c>
      <c r="D368" s="16" t="s">
        <v>468</v>
      </c>
    </row>
    <row r="369" customFormat="false" ht="14.5" hidden="false" customHeight="false" outlineLevel="0" collapsed="false">
      <c r="A369" s="16" t="s">
        <v>1060</v>
      </c>
      <c r="B369" s="17" t="s">
        <v>1061</v>
      </c>
      <c r="C369" s="16" t="n">
        <v>4</v>
      </c>
      <c r="D369" s="16" t="s">
        <v>471</v>
      </c>
    </row>
    <row r="370" customFormat="false" ht="14.5" hidden="false" customHeight="false" outlineLevel="0" collapsed="false">
      <c r="A370" s="16" t="s">
        <v>1062</v>
      </c>
      <c r="B370" s="17" t="s">
        <v>1063</v>
      </c>
      <c r="C370" s="16" t="n">
        <v>4</v>
      </c>
      <c r="D370" s="16" t="s">
        <v>474</v>
      </c>
    </row>
    <row r="371" customFormat="false" ht="14.5" hidden="false" customHeight="false" outlineLevel="0" collapsed="false">
      <c r="A371" s="16" t="s">
        <v>1064</v>
      </c>
      <c r="B371" s="17" t="s">
        <v>1065</v>
      </c>
      <c r="C371" s="16" t="n">
        <v>4</v>
      </c>
      <c r="D371" s="16" t="s">
        <v>476</v>
      </c>
    </row>
    <row r="372" customFormat="false" ht="14.5" hidden="false" customHeight="false" outlineLevel="0" collapsed="false">
      <c r="A372" s="16" t="s">
        <v>1066</v>
      </c>
      <c r="B372" s="17" t="s">
        <v>1067</v>
      </c>
      <c r="C372" s="16" t="n">
        <v>4</v>
      </c>
      <c r="D372" s="16" t="s">
        <v>479</v>
      </c>
    </row>
    <row r="373" customFormat="false" ht="14.5" hidden="false" customHeight="false" outlineLevel="0" collapsed="false">
      <c r="A373" s="16" t="s">
        <v>1068</v>
      </c>
      <c r="B373" s="17" t="s">
        <v>1069</v>
      </c>
      <c r="C373" s="16" t="n">
        <v>4</v>
      </c>
      <c r="D373" s="16" t="s">
        <v>482</v>
      </c>
    </row>
    <row r="374" customFormat="false" ht="14.5" hidden="false" customHeight="false" outlineLevel="0" collapsed="false">
      <c r="A374" s="16" t="s">
        <v>1070</v>
      </c>
      <c r="B374" s="17" t="s">
        <v>1071</v>
      </c>
      <c r="C374" s="16" t="n">
        <v>4</v>
      </c>
      <c r="D374" s="16" t="s">
        <v>485</v>
      </c>
    </row>
    <row r="375" customFormat="false" ht="14.5" hidden="false" customHeight="false" outlineLevel="0" collapsed="false">
      <c r="A375" s="16" t="s">
        <v>1072</v>
      </c>
      <c r="B375" s="17" t="s">
        <v>1073</v>
      </c>
      <c r="C375" s="16" t="n">
        <v>4</v>
      </c>
      <c r="D375" s="16" t="s">
        <v>488</v>
      </c>
    </row>
    <row r="376" customFormat="false" ht="14.5" hidden="false" customHeight="false" outlineLevel="0" collapsed="false">
      <c r="A376" s="16" t="s">
        <v>1074</v>
      </c>
      <c r="B376" s="17" t="s">
        <v>1075</v>
      </c>
      <c r="C376" s="16" t="n">
        <v>4</v>
      </c>
      <c r="D376" s="16" t="s">
        <v>491</v>
      </c>
    </row>
    <row r="377" customFormat="false" ht="14.5" hidden="false" customHeight="false" outlineLevel="0" collapsed="false">
      <c r="A377" s="16" t="s">
        <v>1076</v>
      </c>
      <c r="B377" s="17" t="s">
        <v>1077</v>
      </c>
      <c r="C377" s="16" t="n">
        <v>4</v>
      </c>
      <c r="D377" s="16" t="s">
        <v>494</v>
      </c>
    </row>
    <row r="378" customFormat="false" ht="14.5" hidden="false" customHeight="false" outlineLevel="0" collapsed="false">
      <c r="A378" s="16" t="s">
        <v>1078</v>
      </c>
      <c r="B378" s="17" t="s">
        <v>1079</v>
      </c>
      <c r="C378" s="16" t="n">
        <v>4</v>
      </c>
      <c r="D378" s="16" t="s">
        <v>497</v>
      </c>
    </row>
    <row r="379" customFormat="false" ht="14.5" hidden="false" customHeight="false" outlineLevel="0" collapsed="false">
      <c r="A379" s="16" t="s">
        <v>1080</v>
      </c>
      <c r="B379" s="17" t="s">
        <v>1081</v>
      </c>
      <c r="C379" s="16" t="n">
        <v>4</v>
      </c>
      <c r="D379" s="16" t="s">
        <v>499</v>
      </c>
    </row>
    <row r="380" customFormat="false" ht="14.5" hidden="false" customHeight="false" outlineLevel="0" collapsed="false">
      <c r="A380" s="16" t="s">
        <v>1082</v>
      </c>
      <c r="B380" s="17" t="s">
        <v>1083</v>
      </c>
      <c r="C380" s="16" t="n">
        <v>4</v>
      </c>
      <c r="D380" s="16" t="s">
        <v>502</v>
      </c>
    </row>
    <row r="381" customFormat="false" ht="14.5" hidden="false" customHeight="false" outlineLevel="0" collapsed="false">
      <c r="A381" s="16" t="s">
        <v>1084</v>
      </c>
      <c r="B381" s="17" t="s">
        <v>1085</v>
      </c>
      <c r="C381" s="16" t="n">
        <v>4</v>
      </c>
      <c r="D381" s="16" t="s">
        <v>505</v>
      </c>
    </row>
    <row r="382" customFormat="false" ht="14.5" hidden="false" customHeight="false" outlineLevel="0" collapsed="false">
      <c r="A382" s="16" t="s">
        <v>1086</v>
      </c>
      <c r="B382" s="17" t="s">
        <v>1087</v>
      </c>
      <c r="C382" s="16" t="n">
        <v>4</v>
      </c>
      <c r="D382" s="16" t="s">
        <v>508</v>
      </c>
    </row>
    <row r="383" customFormat="false" ht="14.5" hidden="false" customHeight="false" outlineLevel="0" collapsed="false">
      <c r="A383" s="16" t="s">
        <v>1088</v>
      </c>
      <c r="B383" s="17" t="s">
        <v>1089</v>
      </c>
      <c r="C383" s="16" t="n">
        <v>4</v>
      </c>
      <c r="D383" s="16" t="s">
        <v>511</v>
      </c>
    </row>
    <row r="384" customFormat="false" ht="14.5" hidden="false" customHeight="false" outlineLevel="0" collapsed="false">
      <c r="A384" s="16" t="s">
        <v>1090</v>
      </c>
      <c r="B384" s="17" t="s">
        <v>1091</v>
      </c>
      <c r="C384" s="16" t="n">
        <v>4</v>
      </c>
      <c r="D384" s="16" t="s">
        <v>514</v>
      </c>
    </row>
    <row r="385" customFormat="false" ht="14.5" hidden="false" customHeight="false" outlineLevel="0" collapsed="false">
      <c r="A385" s="16" t="s">
        <v>1092</v>
      </c>
      <c r="B385" s="17" t="s">
        <v>1093</v>
      </c>
      <c r="C385" s="16" t="n">
        <v>4</v>
      </c>
      <c r="D385" s="16" t="s">
        <v>517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69" zoomScaleNormal="69" zoomScalePageLayoutView="100" workbookViewId="0">
      <selection pane="topLeft" activeCell="A7" activeCellId="0" sqref="A7"/>
    </sheetView>
  </sheetViews>
  <sheetFormatPr defaultRowHeight="14.5" zeroHeight="false" outlineLevelRow="0" outlineLevelCol="0"/>
  <cols>
    <col collapsed="false" customWidth="true" hidden="false" outlineLevel="0" max="1" min="1" style="0" width="23.28"/>
    <col collapsed="false" customWidth="true" hidden="false" outlineLevel="0" max="2" min="2" style="0" width="19"/>
    <col collapsed="false" customWidth="true" hidden="false" outlineLevel="0" max="3" min="3" style="0" width="54.82"/>
    <col collapsed="false" customWidth="true" hidden="false" outlineLevel="0" max="4" min="4" style="0" width="43.36"/>
    <col collapsed="false" customWidth="true" hidden="false" outlineLevel="0" max="1025" min="5" style="0" width="9"/>
  </cols>
  <sheetData>
    <row r="1" customFormat="false" ht="14.5" hidden="false" customHeight="false" outlineLevel="0" collapsed="false">
      <c r="A1" s="18" t="s">
        <v>1094</v>
      </c>
      <c r="B1" s="18" t="s">
        <v>1095</v>
      </c>
      <c r="C1" s="18" t="s">
        <v>1096</v>
      </c>
      <c r="D1" s="18" t="s">
        <v>1097</v>
      </c>
    </row>
    <row r="2" customFormat="false" ht="26" hidden="false" customHeight="false" outlineLevel="0" collapsed="false">
      <c r="A2" s="18" t="s">
        <v>1098</v>
      </c>
      <c r="B2" s="18" t="s">
        <v>1099</v>
      </c>
      <c r="C2" s="18" t="s">
        <v>1100</v>
      </c>
      <c r="D2" s="18" t="s">
        <v>1101</v>
      </c>
    </row>
    <row r="3" customFormat="false" ht="39" hidden="false" customHeight="false" outlineLevel="0" collapsed="false">
      <c r="A3" s="18" t="s">
        <v>1102</v>
      </c>
      <c r="B3" s="18" t="s">
        <v>1099</v>
      </c>
      <c r="C3" s="18" t="s">
        <v>1100</v>
      </c>
      <c r="D3" s="18" t="s">
        <v>1103</v>
      </c>
    </row>
    <row r="4" customFormat="false" ht="26" hidden="false" customHeight="false" outlineLevel="0" collapsed="false">
      <c r="A4" s="18" t="s">
        <v>1104</v>
      </c>
      <c r="B4" s="18" t="s">
        <v>1099</v>
      </c>
      <c r="C4" s="18" t="s">
        <v>1105</v>
      </c>
      <c r="D4" s="18" t="s">
        <v>1106</v>
      </c>
    </row>
    <row r="5" customFormat="false" ht="39" hidden="false" customHeight="false" outlineLevel="0" collapsed="false">
      <c r="A5" s="18" t="s">
        <v>1107</v>
      </c>
      <c r="B5" s="18" t="s">
        <v>1099</v>
      </c>
      <c r="C5" s="18" t="s">
        <v>1105</v>
      </c>
      <c r="D5" s="18" t="s">
        <v>1108</v>
      </c>
    </row>
    <row r="6" customFormat="false" ht="26" hidden="false" customHeight="false" outlineLevel="0" collapsed="false">
      <c r="A6" s="18" t="s">
        <v>1109</v>
      </c>
      <c r="B6" s="18" t="s">
        <v>1099</v>
      </c>
      <c r="C6" s="18" t="s">
        <v>1110</v>
      </c>
      <c r="D6" s="18" t="s">
        <v>1111</v>
      </c>
    </row>
    <row r="7" customFormat="false" ht="39" hidden="false" customHeight="false" outlineLevel="0" collapsed="false">
      <c r="A7" s="18" t="s">
        <v>1112</v>
      </c>
      <c r="B7" s="18" t="s">
        <v>1099</v>
      </c>
      <c r="C7" s="19" t="s">
        <v>1113</v>
      </c>
      <c r="D7" s="18" t="s">
        <v>1114</v>
      </c>
    </row>
    <row r="8" customFormat="false" ht="39" hidden="false" customHeight="false" outlineLevel="0" collapsed="false">
      <c r="A8" s="18" t="s">
        <v>1115</v>
      </c>
      <c r="B8" s="18" t="s">
        <v>1099</v>
      </c>
      <c r="C8" s="19" t="s">
        <v>1116</v>
      </c>
      <c r="D8" s="18" t="s">
        <v>1117</v>
      </c>
    </row>
    <row r="9" customFormat="false" ht="52" hidden="false" customHeight="false" outlineLevel="0" collapsed="false">
      <c r="A9" s="18" t="s">
        <v>1118</v>
      </c>
      <c r="B9" s="18" t="s">
        <v>1099</v>
      </c>
      <c r="C9" s="19" t="s">
        <v>1119</v>
      </c>
      <c r="D9" s="18" t="s">
        <v>1120</v>
      </c>
    </row>
    <row r="10" customFormat="false" ht="26" hidden="false" customHeight="false" outlineLevel="0" collapsed="false">
      <c r="A10" s="18" t="s">
        <v>1121</v>
      </c>
      <c r="B10" s="18" t="s">
        <v>1122</v>
      </c>
      <c r="C10" s="18" t="s">
        <v>1123</v>
      </c>
      <c r="D10" s="20"/>
    </row>
    <row r="11" customFormat="false" ht="26" hidden="false" customHeight="false" outlineLevel="0" collapsed="false">
      <c r="A11" s="18" t="s">
        <v>1124</v>
      </c>
      <c r="B11" s="18" t="s">
        <v>1099</v>
      </c>
      <c r="C11" s="19" t="s">
        <v>1125</v>
      </c>
      <c r="D11" s="18" t="s">
        <v>1126</v>
      </c>
    </row>
    <row r="12" customFormat="false" ht="26" hidden="false" customHeight="false" outlineLevel="0" collapsed="false">
      <c r="A12" s="18" t="s">
        <v>1127</v>
      </c>
      <c r="B12" s="18" t="s">
        <v>1128</v>
      </c>
      <c r="C12" s="18" t="s">
        <v>1129</v>
      </c>
      <c r="D12" s="20"/>
    </row>
    <row r="13" customFormat="false" ht="26" hidden="false" customHeight="false" outlineLevel="0" collapsed="false">
      <c r="A13" s="18" t="s">
        <v>1130</v>
      </c>
      <c r="B13" s="18" t="s">
        <v>1099</v>
      </c>
      <c r="C13" s="19" t="s">
        <v>1131</v>
      </c>
      <c r="D13" s="18" t="s">
        <v>1132</v>
      </c>
    </row>
    <row r="14" customFormat="false" ht="26" hidden="false" customHeight="false" outlineLevel="0" collapsed="false">
      <c r="A14" s="18" t="s">
        <v>1133</v>
      </c>
      <c r="B14" s="18" t="s">
        <v>1099</v>
      </c>
      <c r="C14" s="19" t="s">
        <v>1134</v>
      </c>
      <c r="D14" s="18" t="s">
        <v>1135</v>
      </c>
    </row>
    <row r="15" customFormat="false" ht="26" hidden="false" customHeight="false" outlineLevel="0" collapsed="false">
      <c r="A15" s="18" t="s">
        <v>1136</v>
      </c>
      <c r="B15" s="18" t="s">
        <v>1137</v>
      </c>
      <c r="C15" s="19" t="s">
        <v>1138</v>
      </c>
      <c r="D15" s="18" t="s">
        <v>1139</v>
      </c>
    </row>
    <row r="16" customFormat="false" ht="39" hidden="false" customHeight="false" outlineLevel="0" collapsed="false">
      <c r="A16" s="18" t="s">
        <v>1140</v>
      </c>
      <c r="B16" s="18" t="s">
        <v>1137</v>
      </c>
      <c r="C16" s="19" t="s">
        <v>1141</v>
      </c>
      <c r="D16" s="18" t="s">
        <v>1142</v>
      </c>
    </row>
    <row r="17" customFormat="false" ht="26" hidden="false" customHeight="false" outlineLevel="0" collapsed="false">
      <c r="A17" s="18" t="s">
        <v>1143</v>
      </c>
      <c r="B17" s="18" t="s">
        <v>1144</v>
      </c>
      <c r="C17" s="19" t="s">
        <v>1145</v>
      </c>
      <c r="D17" s="18" t="s">
        <v>1146</v>
      </c>
    </row>
    <row r="18" customFormat="false" ht="26" hidden="false" customHeight="false" outlineLevel="0" collapsed="false">
      <c r="A18" s="18" t="s">
        <v>1147</v>
      </c>
      <c r="B18" s="18" t="s">
        <v>1148</v>
      </c>
      <c r="C18" s="19" t="s">
        <v>1149</v>
      </c>
      <c r="D18" s="18" t="s">
        <v>1150</v>
      </c>
    </row>
    <row r="19" customFormat="false" ht="14.5" hidden="false" customHeight="false" outlineLevel="0" collapsed="false">
      <c r="A19" s="18" t="s">
        <v>1151</v>
      </c>
      <c r="B19" s="18" t="s">
        <v>1148</v>
      </c>
      <c r="C19" s="18" t="s">
        <v>1152</v>
      </c>
      <c r="D19" s="20"/>
    </row>
    <row r="20" customFormat="false" ht="26" hidden="false" customHeight="false" outlineLevel="0" collapsed="false">
      <c r="A20" s="18" t="s">
        <v>1153</v>
      </c>
      <c r="B20" s="18" t="s">
        <v>1148</v>
      </c>
      <c r="C20" s="19" t="s">
        <v>1154</v>
      </c>
      <c r="D20" s="18" t="s">
        <v>1155</v>
      </c>
    </row>
    <row r="21" customFormat="false" ht="26" hidden="false" customHeight="false" outlineLevel="0" collapsed="false">
      <c r="A21" s="18" t="s">
        <v>1156</v>
      </c>
      <c r="B21" s="18" t="s">
        <v>1157</v>
      </c>
      <c r="C21" s="19" t="s">
        <v>1158</v>
      </c>
      <c r="D21" s="18" t="s">
        <v>1159</v>
      </c>
    </row>
    <row r="22" customFormat="false" ht="26" hidden="false" customHeight="false" outlineLevel="0" collapsed="false">
      <c r="A22" s="18" t="s">
        <v>1160</v>
      </c>
      <c r="B22" s="18" t="s">
        <v>1161</v>
      </c>
      <c r="C22" s="19" t="s">
        <v>1162</v>
      </c>
      <c r="D22" s="18" t="s">
        <v>1163</v>
      </c>
    </row>
    <row r="23" customFormat="false" ht="39" hidden="false" customHeight="false" outlineLevel="0" collapsed="false">
      <c r="A23" s="18" t="s">
        <v>1164</v>
      </c>
      <c r="B23" s="18" t="s">
        <v>1165</v>
      </c>
      <c r="C23" s="18" t="s">
        <v>1166</v>
      </c>
      <c r="D23" s="20"/>
    </row>
    <row r="24" customFormat="false" ht="26" hidden="false" customHeight="false" outlineLevel="0" collapsed="false">
      <c r="A24" s="18" t="s">
        <v>1167</v>
      </c>
      <c r="B24" s="18" t="s">
        <v>1168</v>
      </c>
      <c r="C24" s="19" t="s">
        <v>1169</v>
      </c>
      <c r="D24" s="18" t="s">
        <v>1170</v>
      </c>
    </row>
    <row r="25" customFormat="false" ht="26" hidden="false" customHeight="false" outlineLevel="0" collapsed="false">
      <c r="A25" s="18" t="s">
        <v>1171</v>
      </c>
      <c r="B25" s="18" t="s">
        <v>1172</v>
      </c>
      <c r="C25" s="19" t="s">
        <v>1173</v>
      </c>
      <c r="D25" s="18" t="s">
        <v>1174</v>
      </c>
    </row>
    <row r="26" customFormat="false" ht="14.5" hidden="false" customHeight="false" outlineLevel="0" collapsed="false">
      <c r="A26" s="21" t="s">
        <v>1175</v>
      </c>
    </row>
  </sheetData>
  <hyperlinks>
    <hyperlink ref="A26" r:id="rId1" display="https://console.cloud.google.com/storage/browser/gcp-public-data--broad-references"/>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B1:J50"/>
  <sheetViews>
    <sheetView showFormulas="false" showGridLines="true" showRowColHeaders="true" showZeros="true" rightToLeft="false" tabSelected="false" showOutlineSymbols="true" defaultGridColor="true" view="normal" topLeftCell="G1" colorId="64" zoomScale="69" zoomScaleNormal="69" zoomScalePageLayoutView="100" workbookViewId="0">
      <selection pane="topLeft" activeCell="J11" activeCellId="0" sqref="J11"/>
    </sheetView>
  </sheetViews>
  <sheetFormatPr defaultRowHeight="14.5" zeroHeight="false" outlineLevelRow="0" outlineLevelCol="0"/>
  <cols>
    <col collapsed="false" customWidth="true" hidden="false" outlineLevel="0" max="1" min="1" style="0" width="8.72"/>
    <col collapsed="false" customWidth="true" hidden="false" outlineLevel="0" max="2" min="2" style="0" width="39.73"/>
    <col collapsed="false" customWidth="true" hidden="false" outlineLevel="0" max="3" min="3" style="0" width="8.72"/>
    <col collapsed="false" customWidth="true" hidden="false" outlineLevel="0" max="4" min="4" style="0" width="15.45"/>
    <col collapsed="false" customWidth="true" hidden="false" outlineLevel="0" max="5" min="5" style="0" width="32.09"/>
    <col collapsed="false" customWidth="true" hidden="false" outlineLevel="0" max="6" min="6" style="0" width="8.72"/>
    <col collapsed="false" customWidth="true" hidden="false" outlineLevel="0" max="7" min="7" style="0" width="61.72"/>
    <col collapsed="false" customWidth="true" hidden="false" outlineLevel="0" max="1025" min="8" style="0" width="8.72"/>
  </cols>
  <sheetData>
    <row r="1" customFormat="false" ht="14.5" hidden="false" customHeight="false" outlineLevel="0" collapsed="false">
      <c r="B1" s="0" t="s">
        <v>1176</v>
      </c>
      <c r="D1" s="22"/>
      <c r="G1" s="23" t="s">
        <v>1177</v>
      </c>
    </row>
    <row r="2" customFormat="false" ht="14.5" hidden="false" customHeight="false" outlineLevel="0" collapsed="false">
      <c r="B2" s="0" t="s">
        <v>1178</v>
      </c>
      <c r="D2" s="22"/>
      <c r="G2" s="23" t="s">
        <v>1179</v>
      </c>
      <c r="J2" s="0" t="s">
        <v>26</v>
      </c>
    </row>
    <row r="3" customFormat="false" ht="14.5" hidden="false" customHeight="false" outlineLevel="0" collapsed="false">
      <c r="B3" s="0" t="s">
        <v>1180</v>
      </c>
      <c r="D3" s="22"/>
      <c r="G3" s="23" t="s">
        <v>1181</v>
      </c>
    </row>
    <row r="4" customFormat="false" ht="14.5" hidden="false" customHeight="false" outlineLevel="0" collapsed="false">
      <c r="B4" s="0" t="s">
        <v>1182</v>
      </c>
      <c r="G4" s="23" t="s">
        <v>1183</v>
      </c>
    </row>
    <row r="5" customFormat="false" ht="14.5" hidden="false" customHeight="false" outlineLevel="0" collapsed="false">
      <c r="B5" s="0" t="s">
        <v>1184</v>
      </c>
      <c r="G5" s="23" t="s">
        <v>1185</v>
      </c>
      <c r="J5" s="24" t="s">
        <v>1186</v>
      </c>
    </row>
    <row r="6" customFormat="false" ht="14.5" hidden="false" customHeight="false" outlineLevel="0" collapsed="false">
      <c r="B6" s="0" t="s">
        <v>1187</v>
      </c>
      <c r="G6" s="23" t="s">
        <v>1188</v>
      </c>
      <c r="J6" s="24" t="s">
        <v>1189</v>
      </c>
    </row>
    <row r="7" customFormat="false" ht="14.5" hidden="false" customHeight="false" outlineLevel="0" collapsed="false">
      <c r="B7" s="0" t="s">
        <v>1190</v>
      </c>
      <c r="E7" s="25" t="s">
        <v>1191</v>
      </c>
      <c r="G7" s="23" t="s">
        <v>1192</v>
      </c>
      <c r="J7" s="24" t="s">
        <v>1193</v>
      </c>
    </row>
    <row r="8" customFormat="false" ht="14.5" hidden="false" customHeight="false" outlineLevel="0" collapsed="false">
      <c r="B8" s="0" t="s">
        <v>1194</v>
      </c>
      <c r="D8" s="25" t="s">
        <v>1195</v>
      </c>
      <c r="E8" s="25" t="s">
        <v>1196</v>
      </c>
      <c r="G8" s="23" t="s">
        <v>1197</v>
      </c>
      <c r="J8" s="24" t="s">
        <v>1198</v>
      </c>
    </row>
    <row r="9" customFormat="false" ht="14.5" hidden="false" customHeight="false" outlineLevel="0" collapsed="false">
      <c r="B9" s="0" t="s">
        <v>1199</v>
      </c>
      <c r="E9" s="25" t="s">
        <v>25</v>
      </c>
      <c r="G9" s="23" t="s">
        <v>1200</v>
      </c>
      <c r="J9" s="24" t="s">
        <v>1186</v>
      </c>
    </row>
    <row r="10" customFormat="false" ht="14.5" hidden="false" customHeight="false" outlineLevel="0" collapsed="false">
      <c r="B10" s="0" t="s">
        <v>1201</v>
      </c>
      <c r="G10" s="23" t="s">
        <v>1202</v>
      </c>
      <c r="J10" s="24" t="s">
        <v>1203</v>
      </c>
    </row>
    <row r="11" customFormat="false" ht="14.5" hidden="false" customHeight="false" outlineLevel="0" collapsed="false">
      <c r="B11" s="0" t="s">
        <v>1204</v>
      </c>
      <c r="G11" s="23" t="s">
        <v>1205</v>
      </c>
    </row>
    <row r="12" customFormat="false" ht="14.5" hidden="false" customHeight="false" outlineLevel="0" collapsed="false">
      <c r="B12" s="0" t="s">
        <v>1206</v>
      </c>
      <c r="D12" s="24" t="s">
        <v>23</v>
      </c>
      <c r="G12" s="23" t="s">
        <v>1207</v>
      </c>
    </row>
    <row r="13" customFormat="false" ht="14.5" hidden="false" customHeight="false" outlineLevel="0" collapsed="false">
      <c r="B13" s="0" t="s">
        <v>1208</v>
      </c>
      <c r="D13" s="24" t="s">
        <v>1209</v>
      </c>
      <c r="G13" s="23" t="s">
        <v>1210</v>
      </c>
    </row>
    <row r="14" customFormat="false" ht="14.5" hidden="false" customHeight="false" outlineLevel="0" collapsed="false">
      <c r="B14" s="0" t="s">
        <v>1211</v>
      </c>
      <c r="D14" s="24" t="s">
        <v>1212</v>
      </c>
      <c r="G14" s="23" t="s">
        <v>1213</v>
      </c>
    </row>
    <row r="15" customFormat="false" ht="14.5" hidden="false" customHeight="false" outlineLevel="0" collapsed="false">
      <c r="B15" s="0" t="s">
        <v>1214</v>
      </c>
      <c r="D15" s="24" t="s">
        <v>1215</v>
      </c>
      <c r="G15" s="23" t="s">
        <v>1216</v>
      </c>
    </row>
    <row r="16" customFormat="false" ht="14.5" hidden="false" customHeight="false" outlineLevel="0" collapsed="false">
      <c r="B16" s="0" t="s">
        <v>1217</v>
      </c>
      <c r="D16" s="24" t="s">
        <v>1218</v>
      </c>
      <c r="G16" s="23" t="s">
        <v>1219</v>
      </c>
    </row>
    <row r="17" customFormat="false" ht="14.5" hidden="false" customHeight="false" outlineLevel="0" collapsed="false">
      <c r="B17" s="0" t="s">
        <v>1220</v>
      </c>
      <c r="G17" s="23" t="s">
        <v>1221</v>
      </c>
    </row>
    <row r="18" customFormat="false" ht="14.5" hidden="false" customHeight="false" outlineLevel="0" collapsed="false">
      <c r="B18" s="0" t="s">
        <v>1222</v>
      </c>
      <c r="G18" s="23" t="s">
        <v>1223</v>
      </c>
    </row>
    <row r="19" customFormat="false" ht="14.5" hidden="false" customHeight="false" outlineLevel="0" collapsed="false">
      <c r="B19" s="0" t="s">
        <v>1224</v>
      </c>
      <c r="G19" s="23" t="s">
        <v>1225</v>
      </c>
    </row>
    <row r="20" customFormat="false" ht="14.5" hidden="false" customHeight="false" outlineLevel="0" collapsed="false">
      <c r="B20" s="0" t="s">
        <v>1226</v>
      </c>
      <c r="G20" s="23" t="s">
        <v>1227</v>
      </c>
    </row>
    <row r="21" customFormat="false" ht="14.5" hidden="false" customHeight="false" outlineLevel="0" collapsed="false">
      <c r="B21" s="0" t="s">
        <v>1228</v>
      </c>
      <c r="G21" s="23" t="s">
        <v>1229</v>
      </c>
    </row>
    <row r="22" customFormat="false" ht="14.5" hidden="false" customHeight="false" outlineLevel="0" collapsed="false">
      <c r="B22" s="0" t="s">
        <v>1230</v>
      </c>
      <c r="G22" s="23" t="s">
        <v>1231</v>
      </c>
    </row>
    <row r="23" customFormat="false" ht="14.5" hidden="false" customHeight="false" outlineLevel="0" collapsed="false">
      <c r="G23" s="23" t="s">
        <v>1232</v>
      </c>
    </row>
    <row r="24" customFormat="false" ht="14.5" hidden="false" customHeight="false" outlineLevel="0" collapsed="false">
      <c r="G24" s="23" t="s">
        <v>1233</v>
      </c>
    </row>
    <row r="25" customFormat="false" ht="14.5" hidden="false" customHeight="false" outlineLevel="0" collapsed="false">
      <c r="G25" s="23" t="s">
        <v>1234</v>
      </c>
    </row>
    <row r="26" customFormat="false" ht="14.5" hidden="false" customHeight="false" outlineLevel="0" collapsed="false">
      <c r="G26" s="23" t="s">
        <v>1235</v>
      </c>
    </row>
    <row r="27" customFormat="false" ht="14.5" hidden="false" customHeight="false" outlineLevel="0" collapsed="false">
      <c r="G27" s="23" t="s">
        <v>1236</v>
      </c>
    </row>
    <row r="28" customFormat="false" ht="14.5" hidden="false" customHeight="false" outlineLevel="0" collapsed="false">
      <c r="G28" s="23" t="s">
        <v>1237</v>
      </c>
    </row>
    <row r="29" customFormat="false" ht="14.5" hidden="false" customHeight="false" outlineLevel="0" collapsed="false">
      <c r="G29" s="23" t="s">
        <v>1238</v>
      </c>
    </row>
    <row r="30" customFormat="false" ht="14.5" hidden="false" customHeight="false" outlineLevel="0" collapsed="false">
      <c r="G30" s="23" t="s">
        <v>1239</v>
      </c>
    </row>
    <row r="31" customFormat="false" ht="14.5" hidden="false" customHeight="false" outlineLevel="0" collapsed="false">
      <c r="G31" s="23" t="s">
        <v>1240</v>
      </c>
    </row>
    <row r="32" customFormat="false" ht="14.5" hidden="false" customHeight="false" outlineLevel="0" collapsed="false">
      <c r="G32" s="23" t="s">
        <v>1241</v>
      </c>
    </row>
    <row r="33" customFormat="false" ht="14.5" hidden="false" customHeight="false" outlineLevel="0" collapsed="false">
      <c r="G33" s="23" t="s">
        <v>1242</v>
      </c>
    </row>
    <row r="34" customFormat="false" ht="14.5" hidden="false" customHeight="false" outlineLevel="0" collapsed="false">
      <c r="G34" s="23" t="s">
        <v>1243</v>
      </c>
    </row>
    <row r="35" customFormat="false" ht="14.5" hidden="false" customHeight="false" outlineLevel="0" collapsed="false">
      <c r="G35" s="23" t="s">
        <v>1244</v>
      </c>
    </row>
    <row r="36" customFormat="false" ht="14.5" hidden="false" customHeight="false" outlineLevel="0" collapsed="false">
      <c r="G36" s="0" t="s">
        <v>1245</v>
      </c>
    </row>
    <row r="37" customFormat="false" ht="14.5" hidden="false" customHeight="false" outlineLevel="0" collapsed="false">
      <c r="G37" s="0" t="s">
        <v>1246</v>
      </c>
    </row>
    <row r="38" customFormat="false" ht="14.5" hidden="false" customHeight="false" outlineLevel="0" collapsed="false">
      <c r="G38" s="0" t="s">
        <v>1247</v>
      </c>
    </row>
    <row r="39" customFormat="false" ht="14.5" hidden="false" customHeight="false" outlineLevel="0" collapsed="false">
      <c r="G39" s="0" t="s">
        <v>1248</v>
      </c>
    </row>
    <row r="40" customFormat="false" ht="14.5" hidden="false" customHeight="false" outlineLevel="0" collapsed="false">
      <c r="G40" s="0" t="s">
        <v>1249</v>
      </c>
    </row>
    <row r="41" customFormat="false" ht="14.5" hidden="false" customHeight="false" outlineLevel="0" collapsed="false">
      <c r="G41" s="0" t="s">
        <v>1250</v>
      </c>
    </row>
    <row r="42" customFormat="false" ht="14.5" hidden="false" customHeight="false" outlineLevel="0" collapsed="false">
      <c r="G42" s="0" t="s">
        <v>1251</v>
      </c>
    </row>
    <row r="43" customFormat="false" ht="14.5" hidden="false" customHeight="false" outlineLevel="0" collapsed="false">
      <c r="G43" s="0" t="s">
        <v>1252</v>
      </c>
    </row>
    <row r="44" customFormat="false" ht="14.5" hidden="false" customHeight="false" outlineLevel="0" collapsed="false">
      <c r="G44" s="0" t="s">
        <v>1253</v>
      </c>
    </row>
    <row r="45" customFormat="false" ht="14.5" hidden="false" customHeight="false" outlineLevel="0" collapsed="false">
      <c r="G45" s="0" t="s">
        <v>1254</v>
      </c>
    </row>
    <row r="46" customFormat="false" ht="14.5" hidden="false" customHeight="false" outlineLevel="0" collapsed="false">
      <c r="G46" s="0" t="s">
        <v>1255</v>
      </c>
    </row>
    <row r="47" customFormat="false" ht="14.5" hidden="false" customHeight="false" outlineLevel="0" collapsed="false">
      <c r="G47" s="0" t="s">
        <v>1256</v>
      </c>
    </row>
    <row r="48" customFormat="false" ht="14.5" hidden="false" customHeight="false" outlineLevel="0" collapsed="false">
      <c r="G48" s="0" t="s">
        <v>1257</v>
      </c>
    </row>
    <row r="49" customFormat="false" ht="14.5" hidden="false" customHeight="false" outlineLevel="0" collapsed="false">
      <c r="G49" s="25" t="s">
        <v>1258</v>
      </c>
    </row>
    <row r="50" customFormat="false" ht="14.5" hidden="false" customHeight="false" outlineLevel="0" collapsed="false">
      <c r="G50" s="0" t="s">
        <v>1259</v>
      </c>
    </row>
  </sheetData>
  <printOptions headings="false" gridLines="false" gridLinesSet="true" horizontalCentered="false" verticalCentered="false"/>
  <pageMargins left="0.699305555555555" right="0.699305555555555"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2015-06-05T18:19:00Z</dcterms:created>
  <dc:creator/>
  <dc:description/>
  <dc:language>en-US</dc:language>
  <cp:lastModifiedBy/>
  <dcterms:modified xsi:type="dcterms:W3CDTF">2026-01-13T16:30:11Z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ICV">
    <vt:lpwstr>204640D5C6894CFA8F52593DD0740ED2</vt:lpwstr>
  </property>
  <property fmtid="{D5CDD505-2E9C-101B-9397-08002B2CF9AE}" pid="6" name="KSOProductBuildVer">
    <vt:lpwstr>2052-12.1.0.19770</vt:lpwstr>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